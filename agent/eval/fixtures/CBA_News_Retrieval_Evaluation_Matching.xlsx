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Trang\GenAI_Projects\asx-agent\agent\eval\fixtures\"/>
    </mc:Choice>
  </mc:AlternateContent>
  <xr:revisionPtr revIDLastSave="0" documentId="13_ncr:1_{28F17E80-FECF-4A45-B49F-166E34E5C11F}" xr6:coauthVersionLast="47" xr6:coauthVersionMax="47" xr10:uidLastSave="{00000000-0000-0000-0000-000000000000}"/>
  <bookViews>
    <workbookView xWindow="-110" yWindow="-110" windowWidth="19420" windowHeight="10300" firstSheet="3" activeTab="6" xr2:uid="{00000000-000D-0000-FFFF-FFFF00000000}"/>
  </bookViews>
  <sheets>
    <sheet name="Original Articles" sheetId="1" r:id="rId1"/>
    <sheet name="Questions" sheetId="2" r:id="rId2"/>
    <sheet name="Example-Question-Article" sheetId="3" r:id="rId3"/>
    <sheet name="Question-Article-Match" sheetId="4" r:id="rId4"/>
    <sheet name="Error Analysis" sheetId="5" r:id="rId5"/>
    <sheet name="Similarity" sheetId="6" r:id="rId6"/>
    <sheet name="Keyword Search Analysis" sheetId="7" r:id="rId7"/>
    <sheet name="Lexical" sheetId="8" r:id="rId8"/>
    <sheet name="Retrieval Comparison" sheetId="9" r:id="rId9"/>
    <sheet name="Answer Quality" sheetId="10" r:id="rId10"/>
    <sheet name="Answer Quality (All)" sheetId="11" r:id="rId11"/>
    <sheet name="Groundedness Audit" sheetId="12" r:id="rId12"/>
  </sheets>
  <definedNames>
    <definedName name="_xlnm._FilterDatabase" localSheetId="10" hidden="1">'Answer Quality (All)'!$A$25:$R$121</definedName>
    <definedName name="_xlnm._FilterDatabase" localSheetId="11" hidden="1">'Groundedness Audit'!$A$16:$J$180</definedName>
    <definedName name="_xlnm._FilterDatabase" localSheetId="7" hidden="1">Lexical!$A$1:$H$337</definedName>
    <definedName name="_xlnm._FilterDatabase" localSheetId="5" hidden="1">Similarity!$A$1:$J$337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12" l="1"/>
  <c r="C7" i="12"/>
  <c r="C6" i="12"/>
  <c r="C5" i="12"/>
  <c r="C4" i="12"/>
  <c r="I121" i="11"/>
  <c r="I120" i="11"/>
  <c r="I119" i="11"/>
  <c r="I118" i="11"/>
  <c r="I117" i="11"/>
  <c r="I116" i="11"/>
  <c r="I115" i="11"/>
  <c r="I114" i="11"/>
  <c r="I113" i="11"/>
  <c r="I112" i="11"/>
  <c r="I111" i="11"/>
  <c r="I110" i="11"/>
  <c r="I109" i="11"/>
  <c r="I108" i="11"/>
  <c r="I107" i="11"/>
  <c r="I106" i="11"/>
  <c r="I105" i="11"/>
  <c r="I104" i="11"/>
  <c r="I103" i="11"/>
  <c r="I102" i="11"/>
  <c r="I101" i="11"/>
  <c r="I100" i="11"/>
  <c r="I99" i="11"/>
  <c r="I98" i="11"/>
  <c r="I97" i="11"/>
  <c r="I96" i="11"/>
  <c r="I95" i="11"/>
  <c r="I94" i="11"/>
  <c r="I93" i="11"/>
  <c r="I92" i="11"/>
  <c r="I91" i="11"/>
  <c r="I90" i="11"/>
  <c r="I89" i="11"/>
  <c r="I88" i="11"/>
  <c r="I87" i="11"/>
  <c r="I86" i="11"/>
  <c r="I85" i="11"/>
  <c r="I84" i="11"/>
  <c r="I83" i="11"/>
  <c r="I82" i="11"/>
  <c r="I81" i="11"/>
  <c r="I80" i="11"/>
  <c r="I79" i="11"/>
  <c r="I78" i="11"/>
  <c r="I77" i="11"/>
  <c r="I76" i="11"/>
  <c r="I75" i="11"/>
  <c r="I74" i="11"/>
  <c r="I73" i="11"/>
  <c r="I72" i="11"/>
  <c r="I71" i="11"/>
  <c r="I70" i="11"/>
  <c r="I69" i="11"/>
  <c r="I68" i="11"/>
  <c r="I67" i="11"/>
  <c r="I66" i="11"/>
  <c r="I65" i="11"/>
  <c r="I64" i="11"/>
  <c r="I63" i="11"/>
  <c r="I62" i="11"/>
  <c r="I61" i="11"/>
  <c r="I60" i="11"/>
  <c r="I59" i="11"/>
  <c r="I58" i="11"/>
  <c r="I57" i="11"/>
  <c r="I56" i="11"/>
  <c r="I55" i="11"/>
  <c r="I54" i="11"/>
  <c r="I53" i="11"/>
  <c r="I52" i="11"/>
  <c r="I51" i="11"/>
  <c r="I50" i="11"/>
  <c r="I49" i="11"/>
  <c r="I48" i="11"/>
  <c r="I47" i="11"/>
  <c r="I46" i="11"/>
  <c r="I45" i="11"/>
  <c r="I44" i="11"/>
  <c r="I43" i="11"/>
  <c r="I42" i="11"/>
  <c r="I41" i="11"/>
  <c r="I40" i="11"/>
  <c r="I39" i="11"/>
  <c r="I38" i="11"/>
  <c r="I37" i="11"/>
  <c r="I36" i="11"/>
  <c r="I35" i="11"/>
  <c r="I34" i="11"/>
  <c r="I33" i="11"/>
  <c r="I32" i="11"/>
  <c r="I31" i="11"/>
  <c r="I30" i="11"/>
  <c r="I29" i="11"/>
  <c r="I28" i="11"/>
  <c r="I27" i="11"/>
  <c r="I26" i="11"/>
  <c r="D14" i="11"/>
  <c r="C14" i="11"/>
  <c r="B14" i="11"/>
  <c r="D13" i="11"/>
  <c r="C13" i="11"/>
  <c r="B13" i="11"/>
  <c r="I9" i="11"/>
  <c r="H9" i="11"/>
  <c r="G9" i="11"/>
  <c r="F9" i="11"/>
  <c r="E9" i="11"/>
  <c r="D9" i="11"/>
  <c r="C9" i="11"/>
  <c r="I8" i="11"/>
  <c r="H8" i="11"/>
  <c r="G8" i="11"/>
  <c r="F8" i="11"/>
  <c r="E8" i="11"/>
  <c r="D8" i="11"/>
  <c r="C8" i="11"/>
  <c r="I7" i="11"/>
  <c r="H7" i="11"/>
  <c r="G7" i="11"/>
  <c r="F7" i="11"/>
  <c r="E7" i="11"/>
  <c r="D7" i="11"/>
  <c r="C7" i="11"/>
  <c r="I6" i="11"/>
  <c r="H6" i="11"/>
  <c r="G6" i="11"/>
  <c r="F6" i="11"/>
  <c r="E6" i="11"/>
  <c r="D6" i="11"/>
  <c r="C6" i="11"/>
  <c r="I5" i="11"/>
  <c r="H5" i="11"/>
  <c r="G5" i="11"/>
  <c r="F5" i="11"/>
  <c r="E5" i="11"/>
  <c r="D5" i="11"/>
  <c r="C5" i="11"/>
  <c r="I4" i="11"/>
  <c r="H4" i="11"/>
  <c r="G4" i="11"/>
  <c r="F4" i="11"/>
  <c r="E4" i="11"/>
  <c r="D4" i="11"/>
  <c r="C4" i="11"/>
  <c r="I27" i="10"/>
  <c r="I26" i="10"/>
  <c r="I25" i="10"/>
  <c r="I24" i="10"/>
  <c r="I23" i="10"/>
  <c r="I22" i="10"/>
  <c r="I21" i="10"/>
  <c r="I20" i="10"/>
  <c r="I19" i="10"/>
  <c r="I18" i="10"/>
  <c r="I17" i="10"/>
  <c r="I16" i="10"/>
  <c r="F6" i="10"/>
  <c r="E6" i="10"/>
  <c r="D6" i="10"/>
  <c r="C6" i="10"/>
  <c r="B6" i="10"/>
  <c r="F5" i="10"/>
  <c r="E5" i="10"/>
  <c r="D5" i="10"/>
  <c r="C5" i="10"/>
  <c r="B5" i="10"/>
  <c r="F4" i="10"/>
  <c r="E4" i="10"/>
  <c r="D4" i="10"/>
  <c r="C4" i="10"/>
  <c r="B4" i="10"/>
  <c r="R63" i="9"/>
  <c r="Q63" i="9"/>
  <c r="N63" i="9"/>
  <c r="M63" i="9"/>
  <c r="J63" i="9"/>
  <c r="I63" i="9"/>
  <c r="R62" i="9"/>
  <c r="Q62" i="9"/>
  <c r="N62" i="9"/>
  <c r="M62" i="9"/>
  <c r="J62" i="9"/>
  <c r="I62" i="9"/>
  <c r="R61" i="9"/>
  <c r="Q61" i="9"/>
  <c r="N61" i="9"/>
  <c r="M61" i="9"/>
  <c r="J61" i="9"/>
  <c r="I61" i="9"/>
  <c r="R60" i="9"/>
  <c r="Q60" i="9"/>
  <c r="N60" i="9"/>
  <c r="M60" i="9"/>
  <c r="J60" i="9"/>
  <c r="I60" i="9"/>
  <c r="R59" i="9"/>
  <c r="Q59" i="9"/>
  <c r="N59" i="9"/>
  <c r="M59" i="9"/>
  <c r="J59" i="9"/>
  <c r="I59" i="9"/>
  <c r="R58" i="9"/>
  <c r="Q58" i="9"/>
  <c r="N58" i="9"/>
  <c r="M58" i="9"/>
  <c r="J58" i="9"/>
  <c r="I58" i="9"/>
  <c r="R57" i="9"/>
  <c r="Q57" i="9"/>
  <c r="N57" i="9"/>
  <c r="M57" i="9"/>
  <c r="J57" i="9"/>
  <c r="I57" i="9"/>
  <c r="R56" i="9"/>
  <c r="Q56" i="9"/>
  <c r="N56" i="9"/>
  <c r="M56" i="9"/>
  <c r="J56" i="9"/>
  <c r="I56" i="9"/>
  <c r="R55" i="9"/>
  <c r="Q55" i="9"/>
  <c r="N55" i="9"/>
  <c r="M55" i="9"/>
  <c r="J55" i="9"/>
  <c r="I55" i="9"/>
  <c r="R54" i="9"/>
  <c r="Q54" i="9"/>
  <c r="N54" i="9"/>
  <c r="M54" i="9"/>
  <c r="J54" i="9"/>
  <c r="I54" i="9"/>
  <c r="R53" i="9"/>
  <c r="Q53" i="9"/>
  <c r="N53" i="9"/>
  <c r="M53" i="9"/>
  <c r="J53" i="9"/>
  <c r="I53" i="9"/>
  <c r="R52" i="9"/>
  <c r="Q52" i="9"/>
  <c r="N52" i="9"/>
  <c r="M52" i="9"/>
  <c r="J52" i="9"/>
  <c r="I52" i="9"/>
  <c r="R51" i="9"/>
  <c r="Q51" i="9"/>
  <c r="N51" i="9"/>
  <c r="M51" i="9"/>
  <c r="J51" i="9"/>
  <c r="I51" i="9"/>
  <c r="R50" i="9"/>
  <c r="Q50" i="9"/>
  <c r="N50" i="9"/>
  <c r="M50" i="9"/>
  <c r="J50" i="9"/>
  <c r="I50" i="9"/>
  <c r="R49" i="9"/>
  <c r="Q49" i="9"/>
  <c r="N49" i="9"/>
  <c r="M49" i="9"/>
  <c r="J49" i="9"/>
  <c r="I49" i="9"/>
  <c r="R48" i="9"/>
  <c r="G6" i="9" s="1"/>
  <c r="Q48" i="9"/>
  <c r="F6" i="9" s="1"/>
  <c r="N48" i="9"/>
  <c r="E6" i="9" s="1"/>
  <c r="M48" i="9"/>
  <c r="D6" i="9" s="1"/>
  <c r="J48" i="9"/>
  <c r="C6" i="9" s="1"/>
  <c r="I48" i="9"/>
  <c r="B6" i="9" s="1"/>
  <c r="R47" i="9"/>
  <c r="Q47" i="9"/>
  <c r="N47" i="9"/>
  <c r="M47" i="9"/>
  <c r="J47" i="9"/>
  <c r="I47" i="9"/>
  <c r="R46" i="9"/>
  <c r="Q46" i="9"/>
  <c r="N46" i="9"/>
  <c r="M46" i="9"/>
  <c r="J46" i="9"/>
  <c r="I46" i="9"/>
  <c r="R45" i="9"/>
  <c r="Q45" i="9"/>
  <c r="N45" i="9"/>
  <c r="M45" i="9"/>
  <c r="J45" i="9"/>
  <c r="I45" i="9"/>
  <c r="R44" i="9"/>
  <c r="Q44" i="9"/>
  <c r="N44" i="9"/>
  <c r="M44" i="9"/>
  <c r="J44" i="9"/>
  <c r="I44" i="9"/>
  <c r="R43" i="9"/>
  <c r="Q43" i="9"/>
  <c r="N43" i="9"/>
  <c r="M43" i="9"/>
  <c r="J43" i="9"/>
  <c r="I43" i="9"/>
  <c r="R42" i="9"/>
  <c r="Q42" i="9"/>
  <c r="N42" i="9"/>
  <c r="M42" i="9"/>
  <c r="J42" i="9"/>
  <c r="I42" i="9"/>
  <c r="R41" i="9"/>
  <c r="Q41" i="9"/>
  <c r="N41" i="9"/>
  <c r="M41" i="9"/>
  <c r="J41" i="9"/>
  <c r="I41" i="9"/>
  <c r="R40" i="9"/>
  <c r="Q40" i="9"/>
  <c r="N40" i="9"/>
  <c r="M40" i="9"/>
  <c r="J40" i="9"/>
  <c r="I40" i="9"/>
  <c r="R39" i="9"/>
  <c r="Q39" i="9"/>
  <c r="N39" i="9"/>
  <c r="M39" i="9"/>
  <c r="J39" i="9"/>
  <c r="I39" i="9"/>
  <c r="R38" i="9"/>
  <c r="Q38" i="9"/>
  <c r="N38" i="9"/>
  <c r="M38" i="9"/>
  <c r="J38" i="9"/>
  <c r="I38" i="9"/>
  <c r="R37" i="9"/>
  <c r="Q37" i="9"/>
  <c r="N37" i="9"/>
  <c r="M37" i="9"/>
  <c r="J37" i="9"/>
  <c r="I37" i="9"/>
  <c r="R36" i="9"/>
  <c r="Q36" i="9"/>
  <c r="N36" i="9"/>
  <c r="M36" i="9"/>
  <c r="J36" i="9"/>
  <c r="I36" i="9"/>
  <c r="R35" i="9"/>
  <c r="Q35" i="9"/>
  <c r="N35" i="9"/>
  <c r="M35" i="9"/>
  <c r="J35" i="9"/>
  <c r="I35" i="9"/>
  <c r="R34" i="9"/>
  <c r="Q34" i="9"/>
  <c r="N34" i="9"/>
  <c r="M34" i="9"/>
  <c r="J34" i="9"/>
  <c r="I34" i="9"/>
  <c r="R33" i="9"/>
  <c r="Q33" i="9"/>
  <c r="N33" i="9"/>
  <c r="M33" i="9"/>
  <c r="J33" i="9"/>
  <c r="I33" i="9"/>
  <c r="R32" i="9"/>
  <c r="Q32" i="9"/>
  <c r="N32" i="9"/>
  <c r="M32" i="9"/>
  <c r="J32" i="9"/>
  <c r="I32" i="9"/>
  <c r="R31" i="9"/>
  <c r="Q31" i="9"/>
  <c r="N31" i="9"/>
  <c r="M31" i="9"/>
  <c r="J31" i="9"/>
  <c r="I31" i="9"/>
  <c r="R30" i="9"/>
  <c r="Q30" i="9"/>
  <c r="N30" i="9"/>
  <c r="M30" i="9"/>
  <c r="J30" i="9"/>
  <c r="I30" i="9"/>
  <c r="R29" i="9"/>
  <c r="Q29" i="9"/>
  <c r="N29" i="9"/>
  <c r="M29" i="9"/>
  <c r="J29" i="9"/>
  <c r="I29" i="9"/>
  <c r="R28" i="9"/>
  <c r="Q28" i="9"/>
  <c r="N28" i="9"/>
  <c r="M28" i="9"/>
  <c r="J28" i="9"/>
  <c r="I28" i="9"/>
  <c r="R27" i="9"/>
  <c r="Q27" i="9"/>
  <c r="N27" i="9"/>
  <c r="M27" i="9"/>
  <c r="J27" i="9"/>
  <c r="I27" i="9"/>
  <c r="R26" i="9"/>
  <c r="Q26" i="9"/>
  <c r="N26" i="9"/>
  <c r="M26" i="9"/>
  <c r="J26" i="9"/>
  <c r="I26" i="9"/>
  <c r="R25" i="9"/>
  <c r="Q25" i="9"/>
  <c r="N25" i="9"/>
  <c r="M25" i="9"/>
  <c r="J25" i="9"/>
  <c r="I25" i="9"/>
  <c r="R24" i="9"/>
  <c r="Q24" i="9"/>
  <c r="N24" i="9"/>
  <c r="M24" i="9"/>
  <c r="J24" i="9"/>
  <c r="I24" i="9"/>
  <c r="R23" i="9"/>
  <c r="Q23" i="9"/>
  <c r="N23" i="9"/>
  <c r="M23" i="9"/>
  <c r="J23" i="9"/>
  <c r="I23" i="9"/>
  <c r="R22" i="9"/>
  <c r="Q22" i="9"/>
  <c r="N22" i="9"/>
  <c r="M22" i="9"/>
  <c r="J22" i="9"/>
  <c r="I22" i="9"/>
  <c r="R21" i="9"/>
  <c r="Q21" i="9"/>
  <c r="N21" i="9"/>
  <c r="M21" i="9"/>
  <c r="J21" i="9"/>
  <c r="I21" i="9"/>
  <c r="R20" i="9"/>
  <c r="Q20" i="9"/>
  <c r="N20" i="9"/>
  <c r="M20" i="9"/>
  <c r="J20" i="9"/>
  <c r="I20" i="9"/>
  <c r="R19" i="9"/>
  <c r="Q19" i="9"/>
  <c r="N19" i="9"/>
  <c r="M19" i="9"/>
  <c r="J19" i="9"/>
  <c r="I19" i="9"/>
  <c r="R18" i="9"/>
  <c r="Q18" i="9"/>
  <c r="N18" i="9"/>
  <c r="M18" i="9"/>
  <c r="J18" i="9"/>
  <c r="I18" i="9"/>
  <c r="R17" i="9"/>
  <c r="Q17" i="9"/>
  <c r="N17" i="9"/>
  <c r="M17" i="9"/>
  <c r="J17" i="9"/>
  <c r="I17" i="9"/>
  <c r="R16" i="9"/>
  <c r="Q16" i="9"/>
  <c r="N16" i="9"/>
  <c r="M16" i="9"/>
  <c r="J16" i="9"/>
  <c r="I16" i="9"/>
  <c r="I6" i="9"/>
  <c r="H6" i="9"/>
  <c r="I5" i="9"/>
  <c r="H5" i="9"/>
  <c r="I4" i="9"/>
  <c r="H4" i="9"/>
  <c r="G4" i="9"/>
  <c r="F4" i="9"/>
  <c r="E4" i="9"/>
  <c r="D4" i="9"/>
  <c r="C4" i="9"/>
  <c r="B4" i="9"/>
  <c r="H337" i="8"/>
  <c r="H336" i="8"/>
  <c r="H335" i="8"/>
  <c r="H334" i="8"/>
  <c r="H333" i="8"/>
  <c r="H332" i="8"/>
  <c r="H331" i="8"/>
  <c r="H330" i="8"/>
  <c r="H329" i="8"/>
  <c r="H328" i="8"/>
  <c r="H327" i="8"/>
  <c r="H326" i="8"/>
  <c r="H325" i="8"/>
  <c r="H324" i="8"/>
  <c r="H323" i="8"/>
  <c r="H322" i="8"/>
  <c r="H321" i="8"/>
  <c r="H320" i="8"/>
  <c r="H319" i="8"/>
  <c r="H318" i="8"/>
  <c r="H317" i="8"/>
  <c r="H316" i="8"/>
  <c r="H315" i="8"/>
  <c r="H314" i="8"/>
  <c r="H313" i="8"/>
  <c r="H312" i="8"/>
  <c r="H311" i="8"/>
  <c r="H310" i="8"/>
  <c r="H309" i="8"/>
  <c r="H308" i="8"/>
  <c r="H307" i="8"/>
  <c r="H306" i="8"/>
  <c r="H305" i="8"/>
  <c r="H304" i="8"/>
  <c r="H303" i="8"/>
  <c r="H302" i="8"/>
  <c r="H301" i="8"/>
  <c r="H300" i="8"/>
  <c r="H299" i="8"/>
  <c r="H298" i="8"/>
  <c r="H297" i="8"/>
  <c r="H296" i="8"/>
  <c r="H295" i="8"/>
  <c r="H294" i="8"/>
  <c r="H293" i="8"/>
  <c r="H292" i="8"/>
  <c r="H291" i="8"/>
  <c r="H290" i="8"/>
  <c r="H289" i="8"/>
  <c r="H288" i="8"/>
  <c r="H287" i="8"/>
  <c r="H286" i="8"/>
  <c r="H285" i="8"/>
  <c r="H284" i="8"/>
  <c r="H283" i="8"/>
  <c r="H282" i="8"/>
  <c r="H281" i="8"/>
  <c r="H280" i="8"/>
  <c r="H279" i="8"/>
  <c r="H278" i="8"/>
  <c r="H277" i="8"/>
  <c r="H276" i="8"/>
  <c r="H275" i="8"/>
  <c r="H274" i="8"/>
  <c r="H273" i="8"/>
  <c r="H272" i="8"/>
  <c r="H271" i="8"/>
  <c r="H270" i="8"/>
  <c r="H269" i="8"/>
  <c r="H268" i="8"/>
  <c r="H267" i="8"/>
  <c r="H266" i="8"/>
  <c r="H265" i="8"/>
  <c r="H264" i="8"/>
  <c r="H263" i="8"/>
  <c r="H262" i="8"/>
  <c r="H261" i="8"/>
  <c r="H260" i="8"/>
  <c r="H259" i="8"/>
  <c r="H258" i="8"/>
  <c r="H257" i="8"/>
  <c r="H256" i="8"/>
  <c r="H255" i="8"/>
  <c r="H254" i="8"/>
  <c r="H253" i="8"/>
  <c r="H252" i="8"/>
  <c r="H251" i="8"/>
  <c r="H250" i="8"/>
  <c r="H249" i="8"/>
  <c r="H248" i="8"/>
  <c r="H247" i="8"/>
  <c r="H246" i="8"/>
  <c r="H245" i="8"/>
  <c r="H244" i="8"/>
  <c r="H243" i="8"/>
  <c r="H242" i="8"/>
  <c r="H241" i="8"/>
  <c r="H240" i="8"/>
  <c r="H239" i="8"/>
  <c r="H238" i="8"/>
  <c r="H237" i="8"/>
  <c r="H236" i="8"/>
  <c r="H235" i="8"/>
  <c r="H234" i="8"/>
  <c r="H233" i="8"/>
  <c r="H232" i="8"/>
  <c r="H231" i="8"/>
  <c r="H230" i="8"/>
  <c r="H229" i="8"/>
  <c r="H228" i="8"/>
  <c r="H227" i="8"/>
  <c r="H226" i="8"/>
  <c r="H225" i="8"/>
  <c r="H224" i="8"/>
  <c r="H223" i="8"/>
  <c r="H222" i="8"/>
  <c r="H221" i="8"/>
  <c r="H220" i="8"/>
  <c r="H219" i="8"/>
  <c r="H218" i="8"/>
  <c r="H217" i="8"/>
  <c r="H216" i="8"/>
  <c r="H215" i="8"/>
  <c r="H214" i="8"/>
  <c r="H213" i="8"/>
  <c r="H212" i="8"/>
  <c r="H211" i="8"/>
  <c r="H210" i="8"/>
  <c r="H209" i="8"/>
  <c r="H208" i="8"/>
  <c r="H207" i="8"/>
  <c r="H206" i="8"/>
  <c r="H205" i="8"/>
  <c r="H204" i="8"/>
  <c r="H203" i="8"/>
  <c r="H202" i="8"/>
  <c r="H201" i="8"/>
  <c r="H200" i="8"/>
  <c r="H199" i="8"/>
  <c r="H198" i="8"/>
  <c r="H197" i="8"/>
  <c r="H196" i="8"/>
  <c r="H195" i="8"/>
  <c r="H194" i="8"/>
  <c r="H193" i="8"/>
  <c r="H192" i="8"/>
  <c r="H191" i="8"/>
  <c r="H190" i="8"/>
  <c r="H189" i="8"/>
  <c r="H188" i="8"/>
  <c r="H187" i="8"/>
  <c r="H186" i="8"/>
  <c r="H185" i="8"/>
  <c r="H184" i="8"/>
  <c r="H183" i="8"/>
  <c r="H182" i="8"/>
  <c r="H181" i="8"/>
  <c r="H180" i="8"/>
  <c r="H179" i="8"/>
  <c r="H178" i="8"/>
  <c r="H177" i="8"/>
  <c r="H176" i="8"/>
  <c r="H175" i="8"/>
  <c r="H174" i="8"/>
  <c r="H173" i="8"/>
  <c r="H172" i="8"/>
  <c r="H171" i="8"/>
  <c r="H170" i="8"/>
  <c r="H169" i="8"/>
  <c r="H168" i="8"/>
  <c r="H167" i="8"/>
  <c r="H166" i="8"/>
  <c r="H165" i="8"/>
  <c r="H164" i="8"/>
  <c r="H163" i="8"/>
  <c r="H162" i="8"/>
  <c r="H161" i="8"/>
  <c r="H160" i="8"/>
  <c r="H159" i="8"/>
  <c r="H158" i="8"/>
  <c r="H157" i="8"/>
  <c r="H156" i="8"/>
  <c r="H155" i="8"/>
  <c r="H154" i="8"/>
  <c r="H153" i="8"/>
  <c r="H152" i="8"/>
  <c r="H151" i="8"/>
  <c r="H150" i="8"/>
  <c r="H149" i="8"/>
  <c r="H148" i="8"/>
  <c r="H147" i="8"/>
  <c r="H146" i="8"/>
  <c r="H145" i="8"/>
  <c r="H144" i="8"/>
  <c r="H143" i="8"/>
  <c r="H142" i="8"/>
  <c r="H141" i="8"/>
  <c r="H140" i="8"/>
  <c r="H139" i="8"/>
  <c r="H138" i="8"/>
  <c r="H137" i="8"/>
  <c r="H136" i="8"/>
  <c r="H135" i="8"/>
  <c r="H134" i="8"/>
  <c r="H133" i="8"/>
  <c r="H132" i="8"/>
  <c r="H131" i="8"/>
  <c r="H130" i="8"/>
  <c r="H129" i="8"/>
  <c r="H128" i="8"/>
  <c r="H127" i="8"/>
  <c r="H126" i="8"/>
  <c r="H125" i="8"/>
  <c r="H124" i="8"/>
  <c r="H123" i="8"/>
  <c r="H122" i="8"/>
  <c r="H121" i="8"/>
  <c r="H120" i="8"/>
  <c r="H119" i="8"/>
  <c r="H118" i="8"/>
  <c r="H117" i="8"/>
  <c r="H116" i="8"/>
  <c r="H115" i="8"/>
  <c r="H114" i="8"/>
  <c r="H113" i="8"/>
  <c r="H112" i="8"/>
  <c r="H111" i="8"/>
  <c r="H110" i="8"/>
  <c r="H109" i="8"/>
  <c r="H108" i="8"/>
  <c r="H107" i="8"/>
  <c r="H106" i="8"/>
  <c r="H105" i="8"/>
  <c r="H104" i="8"/>
  <c r="H103" i="8"/>
  <c r="H102" i="8"/>
  <c r="H101" i="8"/>
  <c r="H100" i="8"/>
  <c r="H99" i="8"/>
  <c r="H98" i="8"/>
  <c r="H97" i="8"/>
  <c r="H96" i="8"/>
  <c r="H95" i="8"/>
  <c r="H94" i="8"/>
  <c r="H93" i="8"/>
  <c r="H92" i="8"/>
  <c r="H91" i="8"/>
  <c r="H90" i="8"/>
  <c r="H89" i="8"/>
  <c r="H88" i="8"/>
  <c r="H87" i="8"/>
  <c r="H86" i="8"/>
  <c r="H85" i="8"/>
  <c r="H84" i="8"/>
  <c r="H83" i="8"/>
  <c r="H82" i="8"/>
  <c r="H81" i="8"/>
  <c r="H80" i="8"/>
  <c r="H79" i="8"/>
  <c r="H78" i="8"/>
  <c r="H77" i="8"/>
  <c r="H76" i="8"/>
  <c r="H75" i="8"/>
  <c r="H74" i="8"/>
  <c r="H73" i="8"/>
  <c r="H72" i="8"/>
  <c r="H71" i="8"/>
  <c r="H70" i="8"/>
  <c r="H69" i="8"/>
  <c r="H68" i="8"/>
  <c r="H67" i="8"/>
  <c r="H66" i="8"/>
  <c r="H65" i="8"/>
  <c r="H64" i="8"/>
  <c r="H63" i="8"/>
  <c r="H62" i="8"/>
  <c r="H61" i="8"/>
  <c r="H60" i="8"/>
  <c r="H59" i="8"/>
  <c r="H58" i="8"/>
  <c r="H57" i="8"/>
  <c r="H56" i="8"/>
  <c r="H55" i="8"/>
  <c r="H54" i="8"/>
  <c r="H53" i="8"/>
  <c r="H52" i="8"/>
  <c r="H51" i="8"/>
  <c r="H50" i="8"/>
  <c r="H49" i="8"/>
  <c r="H48" i="8"/>
  <c r="H47" i="8"/>
  <c r="H46" i="8"/>
  <c r="H45" i="8"/>
  <c r="H44" i="8"/>
  <c r="H43" i="8"/>
  <c r="H42" i="8"/>
  <c r="H41" i="8"/>
  <c r="H40" i="8"/>
  <c r="H39" i="8"/>
  <c r="H38" i="8"/>
  <c r="H37" i="8"/>
  <c r="H36" i="8"/>
  <c r="H35" i="8"/>
  <c r="H34" i="8"/>
  <c r="H33" i="8"/>
  <c r="H32" i="8"/>
  <c r="H31" i="8"/>
  <c r="H30" i="8"/>
  <c r="H29" i="8"/>
  <c r="H28" i="8"/>
  <c r="H27" i="8"/>
  <c r="H26" i="8"/>
  <c r="H25" i="8"/>
  <c r="H24" i="8"/>
  <c r="H23" i="8"/>
  <c r="H22" i="8"/>
  <c r="H21" i="8"/>
  <c r="H20" i="8"/>
  <c r="H19" i="8"/>
  <c r="H18" i="8"/>
  <c r="H17" i="8"/>
  <c r="H16" i="8"/>
  <c r="H15" i="8"/>
  <c r="H14" i="8"/>
  <c r="H13" i="8"/>
  <c r="H12" i="8"/>
  <c r="H11" i="8"/>
  <c r="H10" i="8"/>
  <c r="H9" i="8"/>
  <c r="H8" i="8"/>
  <c r="H7" i="8"/>
  <c r="H6" i="8"/>
  <c r="H5" i="8"/>
  <c r="H4" i="8"/>
  <c r="H3" i="8"/>
  <c r="H2" i="8"/>
  <c r="I337" i="6"/>
  <c r="G337" i="6"/>
  <c r="H337" i="6" s="1"/>
  <c r="J337" i="6" s="1"/>
  <c r="I336" i="6"/>
  <c r="G336" i="6"/>
  <c r="H336" i="6" s="1"/>
  <c r="J336" i="6" s="1"/>
  <c r="I335" i="6"/>
  <c r="G335" i="6"/>
  <c r="H335" i="6" s="1"/>
  <c r="J335" i="6" s="1"/>
  <c r="I334" i="6"/>
  <c r="G334" i="6"/>
  <c r="H334" i="6" s="1"/>
  <c r="J334" i="6" s="1"/>
  <c r="I333" i="6"/>
  <c r="G333" i="6"/>
  <c r="H333" i="6" s="1"/>
  <c r="J333" i="6" s="1"/>
  <c r="I332" i="6"/>
  <c r="G332" i="6"/>
  <c r="H332" i="6" s="1"/>
  <c r="J332" i="6" s="1"/>
  <c r="I331" i="6"/>
  <c r="G331" i="6"/>
  <c r="H331" i="6" s="1"/>
  <c r="J331" i="6" s="1"/>
  <c r="I330" i="6"/>
  <c r="G330" i="6"/>
  <c r="H330" i="6" s="1"/>
  <c r="J330" i="6" s="1"/>
  <c r="I329" i="6"/>
  <c r="G329" i="6"/>
  <c r="H329" i="6" s="1"/>
  <c r="J329" i="6" s="1"/>
  <c r="I328" i="6"/>
  <c r="G328" i="6"/>
  <c r="H328" i="6" s="1"/>
  <c r="J328" i="6" s="1"/>
  <c r="I327" i="6"/>
  <c r="G327" i="6"/>
  <c r="H327" i="6" s="1"/>
  <c r="J327" i="6" s="1"/>
  <c r="I326" i="6"/>
  <c r="G326" i="6"/>
  <c r="H326" i="6" s="1"/>
  <c r="J326" i="6" s="1"/>
  <c r="I325" i="6"/>
  <c r="G325" i="6"/>
  <c r="H325" i="6" s="1"/>
  <c r="J325" i="6" s="1"/>
  <c r="I324" i="6"/>
  <c r="G324" i="6"/>
  <c r="H324" i="6" s="1"/>
  <c r="J324" i="6" s="1"/>
  <c r="I323" i="6"/>
  <c r="G323" i="6"/>
  <c r="H323" i="6" s="1"/>
  <c r="J323" i="6" s="1"/>
  <c r="I322" i="6"/>
  <c r="G322" i="6"/>
  <c r="H322" i="6" s="1"/>
  <c r="J322" i="6" s="1"/>
  <c r="I321" i="6"/>
  <c r="G321" i="6"/>
  <c r="H321" i="6" s="1"/>
  <c r="J321" i="6" s="1"/>
  <c r="I320" i="6"/>
  <c r="G320" i="6"/>
  <c r="H320" i="6" s="1"/>
  <c r="J320" i="6" s="1"/>
  <c r="I319" i="6"/>
  <c r="G319" i="6"/>
  <c r="H319" i="6" s="1"/>
  <c r="J319" i="6" s="1"/>
  <c r="I318" i="6"/>
  <c r="G318" i="6"/>
  <c r="H318" i="6" s="1"/>
  <c r="J318" i="6" s="1"/>
  <c r="I317" i="6"/>
  <c r="G317" i="6"/>
  <c r="H317" i="6" s="1"/>
  <c r="J317" i="6" s="1"/>
  <c r="I316" i="6"/>
  <c r="G316" i="6"/>
  <c r="H316" i="6" s="1"/>
  <c r="J316" i="6" s="1"/>
  <c r="I315" i="6"/>
  <c r="G315" i="6"/>
  <c r="H315" i="6" s="1"/>
  <c r="J315" i="6" s="1"/>
  <c r="I314" i="6"/>
  <c r="G314" i="6"/>
  <c r="H314" i="6" s="1"/>
  <c r="J314" i="6" s="1"/>
  <c r="I313" i="6"/>
  <c r="G313" i="6"/>
  <c r="H313" i="6" s="1"/>
  <c r="J313" i="6" s="1"/>
  <c r="I312" i="6"/>
  <c r="G312" i="6"/>
  <c r="H312" i="6" s="1"/>
  <c r="J312" i="6" s="1"/>
  <c r="I311" i="6"/>
  <c r="G311" i="6"/>
  <c r="H311" i="6" s="1"/>
  <c r="J311" i="6" s="1"/>
  <c r="I310" i="6"/>
  <c r="G310" i="6"/>
  <c r="H310" i="6" s="1"/>
  <c r="J310" i="6" s="1"/>
  <c r="I309" i="6"/>
  <c r="G309" i="6"/>
  <c r="H309" i="6" s="1"/>
  <c r="J309" i="6" s="1"/>
  <c r="I308" i="6"/>
  <c r="G308" i="6"/>
  <c r="H308" i="6" s="1"/>
  <c r="J308" i="6" s="1"/>
  <c r="I307" i="6"/>
  <c r="G307" i="6"/>
  <c r="H307" i="6" s="1"/>
  <c r="J307" i="6" s="1"/>
  <c r="I306" i="6"/>
  <c r="G306" i="6"/>
  <c r="H306" i="6" s="1"/>
  <c r="J306" i="6" s="1"/>
  <c r="I305" i="6"/>
  <c r="G305" i="6"/>
  <c r="H305" i="6" s="1"/>
  <c r="J305" i="6" s="1"/>
  <c r="I304" i="6"/>
  <c r="G304" i="6"/>
  <c r="H304" i="6" s="1"/>
  <c r="J304" i="6" s="1"/>
  <c r="I303" i="6"/>
  <c r="G303" i="6"/>
  <c r="H303" i="6" s="1"/>
  <c r="J303" i="6" s="1"/>
  <c r="I302" i="6"/>
  <c r="G302" i="6"/>
  <c r="H302" i="6" s="1"/>
  <c r="J302" i="6" s="1"/>
  <c r="I301" i="6"/>
  <c r="G301" i="6"/>
  <c r="H301" i="6" s="1"/>
  <c r="J301" i="6" s="1"/>
  <c r="I300" i="6"/>
  <c r="G300" i="6"/>
  <c r="H300" i="6" s="1"/>
  <c r="J300" i="6" s="1"/>
  <c r="I299" i="6"/>
  <c r="G299" i="6"/>
  <c r="H299" i="6" s="1"/>
  <c r="J299" i="6" s="1"/>
  <c r="I298" i="6"/>
  <c r="G298" i="6"/>
  <c r="H298" i="6" s="1"/>
  <c r="J298" i="6" s="1"/>
  <c r="I297" i="6"/>
  <c r="G297" i="6"/>
  <c r="H297" i="6" s="1"/>
  <c r="J297" i="6" s="1"/>
  <c r="I296" i="6"/>
  <c r="G296" i="6"/>
  <c r="H296" i="6" s="1"/>
  <c r="J296" i="6" s="1"/>
  <c r="I295" i="6"/>
  <c r="G295" i="6"/>
  <c r="H295" i="6" s="1"/>
  <c r="J295" i="6" s="1"/>
  <c r="I294" i="6"/>
  <c r="G294" i="6"/>
  <c r="H294" i="6" s="1"/>
  <c r="J294" i="6" s="1"/>
  <c r="I293" i="6"/>
  <c r="G293" i="6"/>
  <c r="H293" i="6" s="1"/>
  <c r="J293" i="6" s="1"/>
  <c r="I292" i="6"/>
  <c r="G292" i="6"/>
  <c r="H292" i="6" s="1"/>
  <c r="J292" i="6" s="1"/>
  <c r="I291" i="6"/>
  <c r="G291" i="6"/>
  <c r="H291" i="6" s="1"/>
  <c r="J291" i="6" s="1"/>
  <c r="I290" i="6"/>
  <c r="G290" i="6"/>
  <c r="H290" i="6" s="1"/>
  <c r="J290" i="6" s="1"/>
  <c r="I289" i="6"/>
  <c r="G289" i="6"/>
  <c r="H289" i="6" s="1"/>
  <c r="J289" i="6" s="1"/>
  <c r="I288" i="6"/>
  <c r="G288" i="6"/>
  <c r="H288" i="6" s="1"/>
  <c r="J288" i="6" s="1"/>
  <c r="I287" i="6"/>
  <c r="G287" i="6"/>
  <c r="H287" i="6" s="1"/>
  <c r="J287" i="6" s="1"/>
  <c r="I286" i="6"/>
  <c r="G286" i="6"/>
  <c r="H286" i="6" s="1"/>
  <c r="J286" i="6" s="1"/>
  <c r="I285" i="6"/>
  <c r="G285" i="6"/>
  <c r="H285" i="6" s="1"/>
  <c r="J285" i="6" s="1"/>
  <c r="I284" i="6"/>
  <c r="G284" i="6"/>
  <c r="H284" i="6" s="1"/>
  <c r="J284" i="6" s="1"/>
  <c r="I283" i="6"/>
  <c r="G283" i="6"/>
  <c r="H283" i="6" s="1"/>
  <c r="J283" i="6" s="1"/>
  <c r="I282" i="6"/>
  <c r="G282" i="6"/>
  <c r="H282" i="6" s="1"/>
  <c r="J282" i="6" s="1"/>
  <c r="I281" i="6"/>
  <c r="G281" i="6"/>
  <c r="H281" i="6" s="1"/>
  <c r="J281" i="6" s="1"/>
  <c r="I280" i="6"/>
  <c r="G280" i="6"/>
  <c r="H280" i="6" s="1"/>
  <c r="J280" i="6" s="1"/>
  <c r="I279" i="6"/>
  <c r="G279" i="6"/>
  <c r="H279" i="6" s="1"/>
  <c r="J279" i="6" s="1"/>
  <c r="I278" i="6"/>
  <c r="G278" i="6"/>
  <c r="H278" i="6" s="1"/>
  <c r="J278" i="6" s="1"/>
  <c r="I277" i="6"/>
  <c r="G277" i="6"/>
  <c r="H277" i="6" s="1"/>
  <c r="J277" i="6" s="1"/>
  <c r="I276" i="6"/>
  <c r="G276" i="6"/>
  <c r="H276" i="6" s="1"/>
  <c r="J276" i="6" s="1"/>
  <c r="I275" i="6"/>
  <c r="G275" i="6"/>
  <c r="H275" i="6" s="1"/>
  <c r="J275" i="6" s="1"/>
  <c r="I274" i="6"/>
  <c r="G274" i="6"/>
  <c r="H274" i="6" s="1"/>
  <c r="J274" i="6" s="1"/>
  <c r="I273" i="6"/>
  <c r="G273" i="6"/>
  <c r="H273" i="6" s="1"/>
  <c r="J273" i="6" s="1"/>
  <c r="I272" i="6"/>
  <c r="G272" i="6"/>
  <c r="H272" i="6" s="1"/>
  <c r="J272" i="6" s="1"/>
  <c r="I271" i="6"/>
  <c r="G271" i="6"/>
  <c r="H271" i="6" s="1"/>
  <c r="J271" i="6" s="1"/>
  <c r="I270" i="6"/>
  <c r="G270" i="6"/>
  <c r="H270" i="6" s="1"/>
  <c r="J270" i="6" s="1"/>
  <c r="I269" i="6"/>
  <c r="G269" i="6"/>
  <c r="H269" i="6" s="1"/>
  <c r="J269" i="6" s="1"/>
  <c r="I268" i="6"/>
  <c r="G268" i="6"/>
  <c r="H268" i="6" s="1"/>
  <c r="J268" i="6" s="1"/>
  <c r="I267" i="6"/>
  <c r="G267" i="6"/>
  <c r="H267" i="6" s="1"/>
  <c r="J267" i="6" s="1"/>
  <c r="I266" i="6"/>
  <c r="G266" i="6"/>
  <c r="H266" i="6" s="1"/>
  <c r="J266" i="6" s="1"/>
  <c r="I265" i="6"/>
  <c r="G265" i="6"/>
  <c r="H265" i="6" s="1"/>
  <c r="J265" i="6" s="1"/>
  <c r="I264" i="6"/>
  <c r="G264" i="6"/>
  <c r="H264" i="6" s="1"/>
  <c r="J264" i="6" s="1"/>
  <c r="I263" i="6"/>
  <c r="G263" i="6"/>
  <c r="H263" i="6" s="1"/>
  <c r="J263" i="6" s="1"/>
  <c r="I262" i="6"/>
  <c r="G262" i="6"/>
  <c r="H262" i="6" s="1"/>
  <c r="J262" i="6" s="1"/>
  <c r="I261" i="6"/>
  <c r="G261" i="6"/>
  <c r="H261" i="6" s="1"/>
  <c r="J261" i="6" s="1"/>
  <c r="I260" i="6"/>
  <c r="G260" i="6"/>
  <c r="H260" i="6" s="1"/>
  <c r="J260" i="6" s="1"/>
  <c r="I259" i="6"/>
  <c r="G259" i="6"/>
  <c r="H259" i="6" s="1"/>
  <c r="J259" i="6" s="1"/>
  <c r="I258" i="6"/>
  <c r="G258" i="6"/>
  <c r="H258" i="6" s="1"/>
  <c r="I257" i="6"/>
  <c r="G257" i="6"/>
  <c r="H257" i="6" s="1"/>
  <c r="J257" i="6" s="1"/>
  <c r="I256" i="6"/>
  <c r="G256" i="6"/>
  <c r="H256" i="6" s="1"/>
  <c r="J256" i="6" s="1"/>
  <c r="I255" i="6"/>
  <c r="G255" i="6"/>
  <c r="H255" i="6" s="1"/>
  <c r="J255" i="6" s="1"/>
  <c r="I254" i="6"/>
  <c r="G254" i="6"/>
  <c r="H254" i="6" s="1"/>
  <c r="J254" i="6" s="1"/>
  <c r="I253" i="6"/>
  <c r="G253" i="6"/>
  <c r="H253" i="6" s="1"/>
  <c r="J253" i="6" s="1"/>
  <c r="I252" i="6"/>
  <c r="G252" i="6"/>
  <c r="H252" i="6" s="1"/>
  <c r="J252" i="6" s="1"/>
  <c r="I251" i="6"/>
  <c r="G251" i="6"/>
  <c r="H251" i="6" s="1"/>
  <c r="J251" i="6" s="1"/>
  <c r="I250" i="6"/>
  <c r="G250" i="6"/>
  <c r="H250" i="6" s="1"/>
  <c r="J250" i="6" s="1"/>
  <c r="I249" i="6"/>
  <c r="G249" i="6"/>
  <c r="H249" i="6" s="1"/>
  <c r="J249" i="6" s="1"/>
  <c r="I248" i="6"/>
  <c r="G248" i="6"/>
  <c r="H248" i="6" s="1"/>
  <c r="J248" i="6" s="1"/>
  <c r="I247" i="6"/>
  <c r="G247" i="6"/>
  <c r="H247" i="6" s="1"/>
  <c r="J247" i="6" s="1"/>
  <c r="I246" i="6"/>
  <c r="G246" i="6"/>
  <c r="H246" i="6" s="1"/>
  <c r="J246" i="6" s="1"/>
  <c r="I245" i="6"/>
  <c r="G245" i="6"/>
  <c r="H245" i="6" s="1"/>
  <c r="J245" i="6" s="1"/>
  <c r="I244" i="6"/>
  <c r="G244" i="6"/>
  <c r="H244" i="6" s="1"/>
  <c r="J244" i="6" s="1"/>
  <c r="I243" i="6"/>
  <c r="G243" i="6"/>
  <c r="H243" i="6" s="1"/>
  <c r="J243" i="6" s="1"/>
  <c r="I242" i="6"/>
  <c r="G242" i="6"/>
  <c r="H242" i="6" s="1"/>
  <c r="J242" i="6" s="1"/>
  <c r="I241" i="6"/>
  <c r="G241" i="6"/>
  <c r="H241" i="6" s="1"/>
  <c r="J241" i="6" s="1"/>
  <c r="I240" i="6"/>
  <c r="G240" i="6"/>
  <c r="H240" i="6" s="1"/>
  <c r="J240" i="6" s="1"/>
  <c r="I239" i="6"/>
  <c r="G239" i="6"/>
  <c r="H239" i="6" s="1"/>
  <c r="J239" i="6" s="1"/>
  <c r="I238" i="6"/>
  <c r="G238" i="6"/>
  <c r="H238" i="6" s="1"/>
  <c r="J238" i="6" s="1"/>
  <c r="I237" i="6"/>
  <c r="G237" i="6"/>
  <c r="H237" i="6" s="1"/>
  <c r="J237" i="6" s="1"/>
  <c r="I236" i="6"/>
  <c r="G236" i="6"/>
  <c r="H236" i="6" s="1"/>
  <c r="J236" i="6" s="1"/>
  <c r="I235" i="6"/>
  <c r="G235" i="6"/>
  <c r="H235" i="6" s="1"/>
  <c r="J235" i="6" s="1"/>
  <c r="I234" i="6"/>
  <c r="G234" i="6"/>
  <c r="H234" i="6" s="1"/>
  <c r="J234" i="6" s="1"/>
  <c r="I233" i="6"/>
  <c r="G233" i="6"/>
  <c r="H233" i="6" s="1"/>
  <c r="J233" i="6" s="1"/>
  <c r="I232" i="6"/>
  <c r="G232" i="6"/>
  <c r="H232" i="6" s="1"/>
  <c r="J232" i="6" s="1"/>
  <c r="I231" i="6"/>
  <c r="G231" i="6"/>
  <c r="H231" i="6" s="1"/>
  <c r="J231" i="6" s="1"/>
  <c r="I230" i="6"/>
  <c r="G230" i="6"/>
  <c r="H230" i="6" s="1"/>
  <c r="J230" i="6" s="1"/>
  <c r="I229" i="6"/>
  <c r="G229" i="6"/>
  <c r="H229" i="6" s="1"/>
  <c r="J229" i="6" s="1"/>
  <c r="I228" i="6"/>
  <c r="G228" i="6"/>
  <c r="H228" i="6" s="1"/>
  <c r="J228" i="6" s="1"/>
  <c r="I227" i="6"/>
  <c r="G227" i="6"/>
  <c r="H227" i="6" s="1"/>
  <c r="J227" i="6" s="1"/>
  <c r="I226" i="6"/>
  <c r="G226" i="6"/>
  <c r="H226" i="6" s="1"/>
  <c r="J226" i="6" s="1"/>
  <c r="I225" i="6"/>
  <c r="G225" i="6"/>
  <c r="H225" i="6" s="1"/>
  <c r="J225" i="6" s="1"/>
  <c r="I224" i="6"/>
  <c r="G224" i="6"/>
  <c r="H224" i="6" s="1"/>
  <c r="J224" i="6" s="1"/>
  <c r="I223" i="6"/>
  <c r="G223" i="6"/>
  <c r="H223" i="6" s="1"/>
  <c r="J223" i="6" s="1"/>
  <c r="I222" i="6"/>
  <c r="G222" i="6"/>
  <c r="H222" i="6" s="1"/>
  <c r="J222" i="6" s="1"/>
  <c r="I221" i="6"/>
  <c r="G221" i="6"/>
  <c r="H221" i="6" s="1"/>
  <c r="J221" i="6" s="1"/>
  <c r="I220" i="6"/>
  <c r="G220" i="6"/>
  <c r="H220" i="6" s="1"/>
  <c r="J220" i="6" s="1"/>
  <c r="I219" i="6"/>
  <c r="G219" i="6"/>
  <c r="H219" i="6" s="1"/>
  <c r="J219" i="6" s="1"/>
  <c r="I218" i="6"/>
  <c r="G218" i="6"/>
  <c r="H218" i="6" s="1"/>
  <c r="J218" i="6" s="1"/>
  <c r="I217" i="6"/>
  <c r="G217" i="6"/>
  <c r="H217" i="6" s="1"/>
  <c r="J217" i="6" s="1"/>
  <c r="I216" i="6"/>
  <c r="G216" i="6"/>
  <c r="H216" i="6" s="1"/>
  <c r="J216" i="6" s="1"/>
  <c r="I215" i="6"/>
  <c r="G215" i="6"/>
  <c r="H215" i="6" s="1"/>
  <c r="J215" i="6" s="1"/>
  <c r="I214" i="6"/>
  <c r="G214" i="6"/>
  <c r="H214" i="6" s="1"/>
  <c r="J214" i="6" s="1"/>
  <c r="I213" i="6"/>
  <c r="G213" i="6"/>
  <c r="H213" i="6" s="1"/>
  <c r="J213" i="6" s="1"/>
  <c r="I212" i="6"/>
  <c r="G212" i="6"/>
  <c r="H212" i="6" s="1"/>
  <c r="J212" i="6" s="1"/>
  <c r="I211" i="6"/>
  <c r="G211" i="6"/>
  <c r="H211" i="6" s="1"/>
  <c r="J211" i="6" s="1"/>
  <c r="I210" i="6"/>
  <c r="G210" i="6"/>
  <c r="H210" i="6" s="1"/>
  <c r="J210" i="6" s="1"/>
  <c r="I209" i="6"/>
  <c r="G209" i="6"/>
  <c r="H209" i="6" s="1"/>
  <c r="J209" i="6" s="1"/>
  <c r="I208" i="6"/>
  <c r="G208" i="6"/>
  <c r="H208" i="6" s="1"/>
  <c r="J208" i="6" s="1"/>
  <c r="I207" i="6"/>
  <c r="G207" i="6"/>
  <c r="H207" i="6" s="1"/>
  <c r="J207" i="6" s="1"/>
  <c r="I206" i="6"/>
  <c r="G206" i="6"/>
  <c r="H206" i="6" s="1"/>
  <c r="J206" i="6" s="1"/>
  <c r="I205" i="6"/>
  <c r="G205" i="6"/>
  <c r="H205" i="6" s="1"/>
  <c r="J205" i="6" s="1"/>
  <c r="I204" i="6"/>
  <c r="G204" i="6"/>
  <c r="H204" i="6" s="1"/>
  <c r="J204" i="6" s="1"/>
  <c r="I203" i="6"/>
  <c r="G203" i="6"/>
  <c r="H203" i="6" s="1"/>
  <c r="J203" i="6" s="1"/>
  <c r="I202" i="6"/>
  <c r="G202" i="6"/>
  <c r="H202" i="6" s="1"/>
  <c r="J202" i="6" s="1"/>
  <c r="I201" i="6"/>
  <c r="G201" i="6"/>
  <c r="H201" i="6" s="1"/>
  <c r="J201" i="6" s="1"/>
  <c r="I200" i="6"/>
  <c r="G200" i="6"/>
  <c r="H200" i="6" s="1"/>
  <c r="J200" i="6" s="1"/>
  <c r="I199" i="6"/>
  <c r="G199" i="6"/>
  <c r="H199" i="6" s="1"/>
  <c r="J199" i="6" s="1"/>
  <c r="I198" i="6"/>
  <c r="G198" i="6"/>
  <c r="H198" i="6" s="1"/>
  <c r="J198" i="6" s="1"/>
  <c r="I197" i="6"/>
  <c r="G197" i="6"/>
  <c r="H197" i="6" s="1"/>
  <c r="J197" i="6" s="1"/>
  <c r="I196" i="6"/>
  <c r="G196" i="6"/>
  <c r="H196" i="6" s="1"/>
  <c r="J196" i="6" s="1"/>
  <c r="I195" i="6"/>
  <c r="G195" i="6"/>
  <c r="H195" i="6" s="1"/>
  <c r="J195" i="6" s="1"/>
  <c r="I194" i="6"/>
  <c r="G194" i="6"/>
  <c r="H194" i="6" s="1"/>
  <c r="J194" i="6" s="1"/>
  <c r="I193" i="6"/>
  <c r="G193" i="6"/>
  <c r="H193" i="6" s="1"/>
  <c r="J193" i="6" s="1"/>
  <c r="I192" i="6"/>
  <c r="G192" i="6"/>
  <c r="H192" i="6" s="1"/>
  <c r="J192" i="6" s="1"/>
  <c r="I191" i="6"/>
  <c r="G191" i="6"/>
  <c r="H191" i="6" s="1"/>
  <c r="J191" i="6" s="1"/>
  <c r="I190" i="6"/>
  <c r="G190" i="6"/>
  <c r="H190" i="6" s="1"/>
  <c r="J190" i="6" s="1"/>
  <c r="I189" i="6"/>
  <c r="G189" i="6"/>
  <c r="H189" i="6" s="1"/>
  <c r="J189" i="6" s="1"/>
  <c r="I188" i="6"/>
  <c r="G188" i="6"/>
  <c r="H188" i="6" s="1"/>
  <c r="J188" i="6" s="1"/>
  <c r="I187" i="6"/>
  <c r="G187" i="6"/>
  <c r="H187" i="6" s="1"/>
  <c r="J187" i="6" s="1"/>
  <c r="I186" i="6"/>
  <c r="G186" i="6"/>
  <c r="H186" i="6" s="1"/>
  <c r="J186" i="6" s="1"/>
  <c r="I185" i="6"/>
  <c r="G185" i="6"/>
  <c r="H185" i="6" s="1"/>
  <c r="J185" i="6" s="1"/>
  <c r="I184" i="6"/>
  <c r="G184" i="6"/>
  <c r="H184" i="6" s="1"/>
  <c r="J184" i="6" s="1"/>
  <c r="I183" i="6"/>
  <c r="G183" i="6"/>
  <c r="H183" i="6" s="1"/>
  <c r="J183" i="6" s="1"/>
  <c r="I182" i="6"/>
  <c r="G182" i="6"/>
  <c r="H182" i="6" s="1"/>
  <c r="J182" i="6" s="1"/>
  <c r="I181" i="6"/>
  <c r="G181" i="6"/>
  <c r="H181" i="6" s="1"/>
  <c r="J181" i="6" s="1"/>
  <c r="I180" i="6"/>
  <c r="G180" i="6"/>
  <c r="H180" i="6" s="1"/>
  <c r="J180" i="6" s="1"/>
  <c r="I179" i="6"/>
  <c r="G179" i="6"/>
  <c r="H179" i="6" s="1"/>
  <c r="J179" i="6" s="1"/>
  <c r="I178" i="6"/>
  <c r="G178" i="6"/>
  <c r="H178" i="6" s="1"/>
  <c r="J178" i="6" s="1"/>
  <c r="I177" i="6"/>
  <c r="G177" i="6"/>
  <c r="H177" i="6" s="1"/>
  <c r="J177" i="6" s="1"/>
  <c r="I176" i="6"/>
  <c r="G176" i="6"/>
  <c r="H176" i="6" s="1"/>
  <c r="J176" i="6" s="1"/>
  <c r="I175" i="6"/>
  <c r="G175" i="6"/>
  <c r="H175" i="6" s="1"/>
  <c r="J175" i="6" s="1"/>
  <c r="I174" i="6"/>
  <c r="G174" i="6"/>
  <c r="H174" i="6" s="1"/>
  <c r="J174" i="6" s="1"/>
  <c r="I173" i="6"/>
  <c r="G173" i="6"/>
  <c r="H173" i="6" s="1"/>
  <c r="J173" i="6" s="1"/>
  <c r="I172" i="6"/>
  <c r="G172" i="6"/>
  <c r="H172" i="6" s="1"/>
  <c r="J172" i="6" s="1"/>
  <c r="I171" i="6"/>
  <c r="G171" i="6"/>
  <c r="H171" i="6" s="1"/>
  <c r="J171" i="6" s="1"/>
  <c r="I170" i="6"/>
  <c r="G170" i="6"/>
  <c r="H170" i="6" s="1"/>
  <c r="J170" i="6" s="1"/>
  <c r="I169" i="6"/>
  <c r="G169" i="6"/>
  <c r="H169" i="6" s="1"/>
  <c r="J169" i="6" s="1"/>
  <c r="I168" i="6"/>
  <c r="G168" i="6"/>
  <c r="H168" i="6" s="1"/>
  <c r="J168" i="6" s="1"/>
  <c r="I167" i="6"/>
  <c r="G167" i="6"/>
  <c r="H167" i="6" s="1"/>
  <c r="J167" i="6" s="1"/>
  <c r="I166" i="6"/>
  <c r="G166" i="6"/>
  <c r="H166" i="6" s="1"/>
  <c r="J166" i="6" s="1"/>
  <c r="I165" i="6"/>
  <c r="G165" i="6"/>
  <c r="H165" i="6" s="1"/>
  <c r="J165" i="6" s="1"/>
  <c r="I164" i="6"/>
  <c r="G164" i="6"/>
  <c r="H164" i="6" s="1"/>
  <c r="J164" i="6" s="1"/>
  <c r="I163" i="6"/>
  <c r="G163" i="6"/>
  <c r="H163" i="6" s="1"/>
  <c r="J163" i="6" s="1"/>
  <c r="I162" i="6"/>
  <c r="G162" i="6"/>
  <c r="H162" i="6" s="1"/>
  <c r="J162" i="6" s="1"/>
  <c r="I161" i="6"/>
  <c r="G161" i="6"/>
  <c r="H161" i="6" s="1"/>
  <c r="J161" i="6" s="1"/>
  <c r="I160" i="6"/>
  <c r="G160" i="6"/>
  <c r="H160" i="6" s="1"/>
  <c r="J160" i="6" s="1"/>
  <c r="I159" i="6"/>
  <c r="G159" i="6"/>
  <c r="H159" i="6" s="1"/>
  <c r="J159" i="6" s="1"/>
  <c r="I158" i="6"/>
  <c r="G158" i="6"/>
  <c r="H158" i="6" s="1"/>
  <c r="J158" i="6" s="1"/>
  <c r="I157" i="6"/>
  <c r="G157" i="6"/>
  <c r="H157" i="6" s="1"/>
  <c r="J157" i="6" s="1"/>
  <c r="I156" i="6"/>
  <c r="G156" i="6"/>
  <c r="H156" i="6" s="1"/>
  <c r="J156" i="6" s="1"/>
  <c r="I155" i="6"/>
  <c r="G155" i="6"/>
  <c r="H155" i="6" s="1"/>
  <c r="J155" i="6" s="1"/>
  <c r="I154" i="6"/>
  <c r="G154" i="6"/>
  <c r="H154" i="6" s="1"/>
  <c r="J154" i="6" s="1"/>
  <c r="I153" i="6"/>
  <c r="G153" i="6"/>
  <c r="H153" i="6" s="1"/>
  <c r="J153" i="6" s="1"/>
  <c r="I152" i="6"/>
  <c r="G152" i="6"/>
  <c r="H152" i="6" s="1"/>
  <c r="J152" i="6" s="1"/>
  <c r="I151" i="6"/>
  <c r="G151" i="6"/>
  <c r="H151" i="6" s="1"/>
  <c r="J151" i="6" s="1"/>
  <c r="I150" i="6"/>
  <c r="G150" i="6"/>
  <c r="H150" i="6" s="1"/>
  <c r="J150" i="6" s="1"/>
  <c r="I149" i="6"/>
  <c r="G149" i="6"/>
  <c r="H149" i="6" s="1"/>
  <c r="J149" i="6" s="1"/>
  <c r="I148" i="6"/>
  <c r="G148" i="6"/>
  <c r="H148" i="6" s="1"/>
  <c r="J148" i="6" s="1"/>
  <c r="I147" i="6"/>
  <c r="G147" i="6"/>
  <c r="H147" i="6" s="1"/>
  <c r="J147" i="6" s="1"/>
  <c r="I146" i="6"/>
  <c r="G146" i="6"/>
  <c r="H146" i="6" s="1"/>
  <c r="J146" i="6" s="1"/>
  <c r="I145" i="6"/>
  <c r="G145" i="6"/>
  <c r="H145" i="6" s="1"/>
  <c r="J145" i="6" s="1"/>
  <c r="I144" i="6"/>
  <c r="G144" i="6"/>
  <c r="H144" i="6" s="1"/>
  <c r="J144" i="6" s="1"/>
  <c r="I143" i="6"/>
  <c r="G143" i="6"/>
  <c r="H143" i="6" s="1"/>
  <c r="J143" i="6" s="1"/>
  <c r="I142" i="6"/>
  <c r="G142" i="6"/>
  <c r="H142" i="6" s="1"/>
  <c r="J142" i="6" s="1"/>
  <c r="I141" i="6"/>
  <c r="G141" i="6"/>
  <c r="H141" i="6" s="1"/>
  <c r="J141" i="6" s="1"/>
  <c r="I140" i="6"/>
  <c r="G140" i="6"/>
  <c r="H140" i="6" s="1"/>
  <c r="J140" i="6" s="1"/>
  <c r="I139" i="6"/>
  <c r="G139" i="6"/>
  <c r="H139" i="6" s="1"/>
  <c r="J139" i="6" s="1"/>
  <c r="I138" i="6"/>
  <c r="G138" i="6"/>
  <c r="H138" i="6" s="1"/>
  <c r="J138" i="6" s="1"/>
  <c r="I137" i="6"/>
  <c r="G137" i="6"/>
  <c r="H137" i="6" s="1"/>
  <c r="J137" i="6" s="1"/>
  <c r="I136" i="6"/>
  <c r="G136" i="6"/>
  <c r="H136" i="6" s="1"/>
  <c r="J136" i="6" s="1"/>
  <c r="I135" i="6"/>
  <c r="G135" i="6"/>
  <c r="H135" i="6" s="1"/>
  <c r="J135" i="6" s="1"/>
  <c r="I134" i="6"/>
  <c r="G134" i="6"/>
  <c r="H134" i="6" s="1"/>
  <c r="J134" i="6" s="1"/>
  <c r="I133" i="6"/>
  <c r="G133" i="6"/>
  <c r="H133" i="6" s="1"/>
  <c r="J133" i="6" s="1"/>
  <c r="I132" i="6"/>
  <c r="G132" i="6"/>
  <c r="H132" i="6" s="1"/>
  <c r="J132" i="6" s="1"/>
  <c r="I131" i="6"/>
  <c r="G131" i="6"/>
  <c r="H131" i="6" s="1"/>
  <c r="J131" i="6" s="1"/>
  <c r="I130" i="6"/>
  <c r="G130" i="6"/>
  <c r="H130" i="6" s="1"/>
  <c r="J130" i="6" s="1"/>
  <c r="I129" i="6"/>
  <c r="G129" i="6"/>
  <c r="H129" i="6" s="1"/>
  <c r="J129" i="6" s="1"/>
  <c r="I128" i="6"/>
  <c r="G128" i="6"/>
  <c r="H128" i="6" s="1"/>
  <c r="J128" i="6" s="1"/>
  <c r="I127" i="6"/>
  <c r="G127" i="6"/>
  <c r="H127" i="6" s="1"/>
  <c r="J127" i="6" s="1"/>
  <c r="I126" i="6"/>
  <c r="G126" i="6"/>
  <c r="H126" i="6" s="1"/>
  <c r="J126" i="6" s="1"/>
  <c r="I125" i="6"/>
  <c r="G125" i="6"/>
  <c r="H125" i="6" s="1"/>
  <c r="J125" i="6" s="1"/>
  <c r="I124" i="6"/>
  <c r="G124" i="6"/>
  <c r="H124" i="6" s="1"/>
  <c r="J124" i="6" s="1"/>
  <c r="I123" i="6"/>
  <c r="G123" i="6"/>
  <c r="H123" i="6" s="1"/>
  <c r="J123" i="6" s="1"/>
  <c r="I122" i="6"/>
  <c r="G122" i="6"/>
  <c r="H122" i="6" s="1"/>
  <c r="J122" i="6" s="1"/>
  <c r="I121" i="6"/>
  <c r="G121" i="6"/>
  <c r="H121" i="6" s="1"/>
  <c r="J121" i="6" s="1"/>
  <c r="I120" i="6"/>
  <c r="G120" i="6"/>
  <c r="H120" i="6" s="1"/>
  <c r="J120" i="6" s="1"/>
  <c r="I119" i="6"/>
  <c r="G119" i="6"/>
  <c r="H119" i="6" s="1"/>
  <c r="J119" i="6" s="1"/>
  <c r="I118" i="6"/>
  <c r="G118" i="6"/>
  <c r="H118" i="6" s="1"/>
  <c r="J118" i="6" s="1"/>
  <c r="I117" i="6"/>
  <c r="G117" i="6"/>
  <c r="H117" i="6" s="1"/>
  <c r="J117" i="6" s="1"/>
  <c r="I116" i="6"/>
  <c r="G116" i="6"/>
  <c r="H116" i="6" s="1"/>
  <c r="J116" i="6" s="1"/>
  <c r="I115" i="6"/>
  <c r="G115" i="6"/>
  <c r="H115" i="6" s="1"/>
  <c r="I114" i="6"/>
  <c r="G114" i="6"/>
  <c r="H114" i="6" s="1"/>
  <c r="J114" i="6" s="1"/>
  <c r="I113" i="6"/>
  <c r="G113" i="6"/>
  <c r="H113" i="6" s="1"/>
  <c r="J113" i="6" s="1"/>
  <c r="I112" i="6"/>
  <c r="G112" i="6"/>
  <c r="H112" i="6" s="1"/>
  <c r="J112" i="6" s="1"/>
  <c r="I111" i="6"/>
  <c r="G111" i="6"/>
  <c r="H111" i="6" s="1"/>
  <c r="J111" i="6" s="1"/>
  <c r="I110" i="6"/>
  <c r="G110" i="6"/>
  <c r="H110" i="6" s="1"/>
  <c r="J110" i="6" s="1"/>
  <c r="I109" i="6"/>
  <c r="G109" i="6"/>
  <c r="H109" i="6" s="1"/>
  <c r="J109" i="6" s="1"/>
  <c r="I108" i="6"/>
  <c r="G108" i="6"/>
  <c r="H108" i="6" s="1"/>
  <c r="J108" i="6" s="1"/>
  <c r="I107" i="6"/>
  <c r="G107" i="6"/>
  <c r="H107" i="6" s="1"/>
  <c r="J107" i="6" s="1"/>
  <c r="I106" i="6"/>
  <c r="G106" i="6"/>
  <c r="H106" i="6" s="1"/>
  <c r="J106" i="6" s="1"/>
  <c r="I105" i="6"/>
  <c r="G105" i="6"/>
  <c r="H105" i="6" s="1"/>
  <c r="J105" i="6" s="1"/>
  <c r="I104" i="6"/>
  <c r="G104" i="6"/>
  <c r="H104" i="6" s="1"/>
  <c r="J104" i="6" s="1"/>
  <c r="I103" i="6"/>
  <c r="G103" i="6"/>
  <c r="H103" i="6" s="1"/>
  <c r="J103" i="6" s="1"/>
  <c r="I102" i="6"/>
  <c r="G102" i="6"/>
  <c r="H102" i="6" s="1"/>
  <c r="J102" i="6" s="1"/>
  <c r="I101" i="6"/>
  <c r="G101" i="6"/>
  <c r="H101" i="6" s="1"/>
  <c r="J101" i="6" s="1"/>
  <c r="I100" i="6"/>
  <c r="G100" i="6"/>
  <c r="H100" i="6" s="1"/>
  <c r="J100" i="6" s="1"/>
  <c r="I99" i="6"/>
  <c r="G99" i="6"/>
  <c r="H99" i="6" s="1"/>
  <c r="J99" i="6" s="1"/>
  <c r="I98" i="6"/>
  <c r="G98" i="6"/>
  <c r="H98" i="6" s="1"/>
  <c r="J98" i="6" s="1"/>
  <c r="I97" i="6"/>
  <c r="G97" i="6"/>
  <c r="H97" i="6" s="1"/>
  <c r="J97" i="6" s="1"/>
  <c r="I96" i="6"/>
  <c r="G96" i="6"/>
  <c r="H96" i="6" s="1"/>
  <c r="J96" i="6" s="1"/>
  <c r="I95" i="6"/>
  <c r="G95" i="6"/>
  <c r="H95" i="6" s="1"/>
  <c r="J95" i="6" s="1"/>
  <c r="I94" i="6"/>
  <c r="G94" i="6"/>
  <c r="H94" i="6" s="1"/>
  <c r="J94" i="6" s="1"/>
  <c r="I93" i="6"/>
  <c r="G93" i="6"/>
  <c r="H93" i="6" s="1"/>
  <c r="J93" i="6" s="1"/>
  <c r="I92" i="6"/>
  <c r="G92" i="6"/>
  <c r="H92" i="6" s="1"/>
  <c r="J92" i="6" s="1"/>
  <c r="I91" i="6"/>
  <c r="G91" i="6"/>
  <c r="H91" i="6" s="1"/>
  <c r="J91" i="6" s="1"/>
  <c r="I90" i="6"/>
  <c r="G90" i="6"/>
  <c r="H90" i="6" s="1"/>
  <c r="J90" i="6" s="1"/>
  <c r="I89" i="6"/>
  <c r="G89" i="6"/>
  <c r="H89" i="6" s="1"/>
  <c r="J89" i="6" s="1"/>
  <c r="I88" i="6"/>
  <c r="G88" i="6"/>
  <c r="H88" i="6" s="1"/>
  <c r="J88" i="6" s="1"/>
  <c r="I87" i="6"/>
  <c r="G87" i="6"/>
  <c r="H87" i="6" s="1"/>
  <c r="J87" i="6" s="1"/>
  <c r="I86" i="6"/>
  <c r="G86" i="6"/>
  <c r="H86" i="6" s="1"/>
  <c r="J86" i="6" s="1"/>
  <c r="I85" i="6"/>
  <c r="G85" i="6"/>
  <c r="H85" i="6" s="1"/>
  <c r="J85" i="6" s="1"/>
  <c r="I84" i="6"/>
  <c r="G84" i="6"/>
  <c r="H84" i="6" s="1"/>
  <c r="J84" i="6" s="1"/>
  <c r="I83" i="6"/>
  <c r="G83" i="6"/>
  <c r="H83" i="6" s="1"/>
  <c r="J83" i="6" s="1"/>
  <c r="I82" i="6"/>
  <c r="G82" i="6"/>
  <c r="H82" i="6" s="1"/>
  <c r="J82" i="6" s="1"/>
  <c r="I81" i="6"/>
  <c r="G81" i="6"/>
  <c r="H81" i="6" s="1"/>
  <c r="J81" i="6" s="1"/>
  <c r="I80" i="6"/>
  <c r="G80" i="6"/>
  <c r="H80" i="6" s="1"/>
  <c r="J80" i="6" s="1"/>
  <c r="I79" i="6"/>
  <c r="G79" i="6"/>
  <c r="H79" i="6" s="1"/>
  <c r="J79" i="6" s="1"/>
  <c r="I78" i="6"/>
  <c r="G78" i="6"/>
  <c r="H78" i="6" s="1"/>
  <c r="J78" i="6" s="1"/>
  <c r="I77" i="6"/>
  <c r="G77" i="6"/>
  <c r="H77" i="6" s="1"/>
  <c r="J77" i="6" s="1"/>
  <c r="I76" i="6"/>
  <c r="G76" i="6"/>
  <c r="H76" i="6" s="1"/>
  <c r="J76" i="6" s="1"/>
  <c r="I75" i="6"/>
  <c r="G75" i="6"/>
  <c r="H75" i="6" s="1"/>
  <c r="J75" i="6" s="1"/>
  <c r="I74" i="6"/>
  <c r="G74" i="6"/>
  <c r="H74" i="6" s="1"/>
  <c r="J74" i="6" s="1"/>
  <c r="I73" i="6"/>
  <c r="G73" i="6"/>
  <c r="H73" i="6" s="1"/>
  <c r="J73" i="6" s="1"/>
  <c r="I72" i="6"/>
  <c r="G72" i="6"/>
  <c r="H72" i="6" s="1"/>
  <c r="J72" i="6" s="1"/>
  <c r="I71" i="6"/>
  <c r="G71" i="6"/>
  <c r="H71" i="6" s="1"/>
  <c r="J71" i="6" s="1"/>
  <c r="I70" i="6"/>
  <c r="G70" i="6"/>
  <c r="H70" i="6" s="1"/>
  <c r="J70" i="6" s="1"/>
  <c r="I69" i="6"/>
  <c r="G69" i="6"/>
  <c r="H69" i="6" s="1"/>
  <c r="J69" i="6" s="1"/>
  <c r="I68" i="6"/>
  <c r="G68" i="6"/>
  <c r="H68" i="6" s="1"/>
  <c r="J68" i="6" s="1"/>
  <c r="I67" i="6"/>
  <c r="G67" i="6"/>
  <c r="H67" i="6" s="1"/>
  <c r="J67" i="6" s="1"/>
  <c r="I66" i="6"/>
  <c r="G66" i="6"/>
  <c r="H66" i="6" s="1"/>
  <c r="J66" i="6" s="1"/>
  <c r="I65" i="6"/>
  <c r="G65" i="6"/>
  <c r="H65" i="6" s="1"/>
  <c r="J65" i="6" s="1"/>
  <c r="I64" i="6"/>
  <c r="G64" i="6"/>
  <c r="H64" i="6" s="1"/>
  <c r="J64" i="6" s="1"/>
  <c r="I63" i="6"/>
  <c r="G63" i="6"/>
  <c r="H63" i="6" s="1"/>
  <c r="J63" i="6" s="1"/>
  <c r="I62" i="6"/>
  <c r="G62" i="6"/>
  <c r="H62" i="6" s="1"/>
  <c r="J62" i="6" s="1"/>
  <c r="I61" i="6"/>
  <c r="G61" i="6"/>
  <c r="H61" i="6" s="1"/>
  <c r="J61" i="6" s="1"/>
  <c r="I60" i="6"/>
  <c r="G60" i="6"/>
  <c r="H60" i="6" s="1"/>
  <c r="J60" i="6" s="1"/>
  <c r="I59" i="6"/>
  <c r="G59" i="6"/>
  <c r="H59" i="6" s="1"/>
  <c r="J59" i="6" s="1"/>
  <c r="I58" i="6"/>
  <c r="G58" i="6"/>
  <c r="H58" i="6" s="1"/>
  <c r="J58" i="6" s="1"/>
  <c r="I57" i="6"/>
  <c r="G57" i="6"/>
  <c r="H57" i="6" s="1"/>
  <c r="J57" i="6" s="1"/>
  <c r="I56" i="6"/>
  <c r="G56" i="6"/>
  <c r="H56" i="6" s="1"/>
  <c r="J56" i="6" s="1"/>
  <c r="I55" i="6"/>
  <c r="G55" i="6"/>
  <c r="H55" i="6" s="1"/>
  <c r="J55" i="6" s="1"/>
  <c r="I54" i="6"/>
  <c r="G54" i="6"/>
  <c r="H54" i="6" s="1"/>
  <c r="J54" i="6" s="1"/>
  <c r="I53" i="6"/>
  <c r="G53" i="6"/>
  <c r="H53" i="6" s="1"/>
  <c r="J53" i="6" s="1"/>
  <c r="I52" i="6"/>
  <c r="G52" i="6"/>
  <c r="H52" i="6" s="1"/>
  <c r="J52" i="6" s="1"/>
  <c r="I51" i="6"/>
  <c r="G51" i="6"/>
  <c r="H51" i="6" s="1"/>
  <c r="J51" i="6" s="1"/>
  <c r="I50" i="6"/>
  <c r="G50" i="6"/>
  <c r="H50" i="6" s="1"/>
  <c r="J50" i="6" s="1"/>
  <c r="I49" i="6"/>
  <c r="G49" i="6"/>
  <c r="H49" i="6" s="1"/>
  <c r="J49" i="6" s="1"/>
  <c r="I48" i="6"/>
  <c r="G48" i="6"/>
  <c r="H48" i="6" s="1"/>
  <c r="J48" i="6" s="1"/>
  <c r="I47" i="6"/>
  <c r="G47" i="6"/>
  <c r="H47" i="6" s="1"/>
  <c r="J47" i="6" s="1"/>
  <c r="I46" i="6"/>
  <c r="G46" i="6"/>
  <c r="H46" i="6" s="1"/>
  <c r="J46" i="6" s="1"/>
  <c r="I45" i="6"/>
  <c r="G45" i="6"/>
  <c r="H45" i="6" s="1"/>
  <c r="J45" i="6" s="1"/>
  <c r="I44" i="6"/>
  <c r="G44" i="6"/>
  <c r="H44" i="6" s="1"/>
  <c r="J44" i="6" s="1"/>
  <c r="I43" i="6"/>
  <c r="G43" i="6"/>
  <c r="H43" i="6" s="1"/>
  <c r="J43" i="6" s="1"/>
  <c r="I42" i="6"/>
  <c r="G42" i="6"/>
  <c r="H42" i="6" s="1"/>
  <c r="J42" i="6" s="1"/>
  <c r="I41" i="6"/>
  <c r="G41" i="6"/>
  <c r="H41" i="6" s="1"/>
  <c r="J41" i="6" s="1"/>
  <c r="I40" i="6"/>
  <c r="G40" i="6"/>
  <c r="H40" i="6" s="1"/>
  <c r="J40" i="6" s="1"/>
  <c r="I39" i="6"/>
  <c r="G39" i="6"/>
  <c r="H39" i="6" s="1"/>
  <c r="J39" i="6" s="1"/>
  <c r="I38" i="6"/>
  <c r="G38" i="6"/>
  <c r="H38" i="6" s="1"/>
  <c r="J38" i="6" s="1"/>
  <c r="I37" i="6"/>
  <c r="G37" i="6"/>
  <c r="H37" i="6" s="1"/>
  <c r="J37" i="6" s="1"/>
  <c r="I36" i="6"/>
  <c r="G36" i="6"/>
  <c r="H36" i="6" s="1"/>
  <c r="J36" i="6" s="1"/>
  <c r="I35" i="6"/>
  <c r="G35" i="6"/>
  <c r="H35" i="6" s="1"/>
  <c r="J35" i="6" s="1"/>
  <c r="I34" i="6"/>
  <c r="G34" i="6"/>
  <c r="H34" i="6" s="1"/>
  <c r="J34" i="6" s="1"/>
  <c r="I33" i="6"/>
  <c r="G33" i="6"/>
  <c r="H33" i="6" s="1"/>
  <c r="J33" i="6" s="1"/>
  <c r="I32" i="6"/>
  <c r="G32" i="6"/>
  <c r="H32" i="6" s="1"/>
  <c r="J32" i="6" s="1"/>
  <c r="I31" i="6"/>
  <c r="G31" i="6"/>
  <c r="H31" i="6" s="1"/>
  <c r="J31" i="6" s="1"/>
  <c r="I30" i="6"/>
  <c r="G30" i="6"/>
  <c r="H30" i="6" s="1"/>
  <c r="J30" i="6" s="1"/>
  <c r="I29" i="6"/>
  <c r="G29" i="6"/>
  <c r="H29" i="6" s="1"/>
  <c r="J29" i="6" s="1"/>
  <c r="I28" i="6"/>
  <c r="G28" i="6"/>
  <c r="H28" i="6" s="1"/>
  <c r="J28" i="6" s="1"/>
  <c r="I27" i="6"/>
  <c r="G27" i="6"/>
  <c r="H27" i="6" s="1"/>
  <c r="J27" i="6" s="1"/>
  <c r="I26" i="6"/>
  <c r="G26" i="6"/>
  <c r="H26" i="6" s="1"/>
  <c r="J26" i="6" s="1"/>
  <c r="I25" i="6"/>
  <c r="G25" i="6"/>
  <c r="H25" i="6" s="1"/>
  <c r="J25" i="6" s="1"/>
  <c r="I24" i="6"/>
  <c r="G24" i="6"/>
  <c r="H24" i="6" s="1"/>
  <c r="J24" i="6" s="1"/>
  <c r="I23" i="6"/>
  <c r="G23" i="6"/>
  <c r="H23" i="6" s="1"/>
  <c r="J23" i="6" s="1"/>
  <c r="I22" i="6"/>
  <c r="G22" i="6"/>
  <c r="H22" i="6" s="1"/>
  <c r="J22" i="6" s="1"/>
  <c r="I21" i="6"/>
  <c r="G21" i="6"/>
  <c r="H21" i="6" s="1"/>
  <c r="J21" i="6" s="1"/>
  <c r="I20" i="6"/>
  <c r="G20" i="6"/>
  <c r="H20" i="6" s="1"/>
  <c r="J20" i="6" s="1"/>
  <c r="I19" i="6"/>
  <c r="G19" i="6"/>
  <c r="H19" i="6" s="1"/>
  <c r="J19" i="6" s="1"/>
  <c r="I18" i="6"/>
  <c r="G18" i="6"/>
  <c r="H18" i="6" s="1"/>
  <c r="J18" i="6" s="1"/>
  <c r="I17" i="6"/>
  <c r="G17" i="6"/>
  <c r="H17" i="6" s="1"/>
  <c r="J17" i="6" s="1"/>
  <c r="I16" i="6"/>
  <c r="G16" i="6"/>
  <c r="H16" i="6" s="1"/>
  <c r="J16" i="6" s="1"/>
  <c r="I15" i="6"/>
  <c r="G15" i="6"/>
  <c r="H15" i="6" s="1"/>
  <c r="J15" i="6" s="1"/>
  <c r="I14" i="6"/>
  <c r="G14" i="6"/>
  <c r="H14" i="6" s="1"/>
  <c r="J14" i="6" s="1"/>
  <c r="I13" i="6"/>
  <c r="G13" i="6"/>
  <c r="H13" i="6" s="1"/>
  <c r="J13" i="6" s="1"/>
  <c r="I12" i="6"/>
  <c r="G12" i="6"/>
  <c r="H12" i="6" s="1"/>
  <c r="J12" i="6" s="1"/>
  <c r="I11" i="6"/>
  <c r="G11" i="6"/>
  <c r="H11" i="6" s="1"/>
  <c r="J11" i="6" s="1"/>
  <c r="I10" i="6"/>
  <c r="G10" i="6"/>
  <c r="H10" i="6" s="1"/>
  <c r="J10" i="6" s="1"/>
  <c r="I9" i="6"/>
  <c r="G9" i="6"/>
  <c r="H9" i="6" s="1"/>
  <c r="J9" i="6" s="1"/>
  <c r="I8" i="6"/>
  <c r="G8" i="6"/>
  <c r="H8" i="6" s="1"/>
  <c r="J8" i="6" s="1"/>
  <c r="I7" i="6"/>
  <c r="G7" i="6"/>
  <c r="H7" i="6" s="1"/>
  <c r="J7" i="6" s="1"/>
  <c r="I6" i="6"/>
  <c r="G6" i="6"/>
  <c r="H6" i="6" s="1"/>
  <c r="J6" i="6" s="1"/>
  <c r="I5" i="6"/>
  <c r="G5" i="6"/>
  <c r="H5" i="6" s="1"/>
  <c r="J5" i="6" s="1"/>
  <c r="I4" i="6"/>
  <c r="G4" i="6"/>
  <c r="H4" i="6" s="1"/>
  <c r="J4" i="6" s="1"/>
  <c r="I3" i="6"/>
  <c r="G3" i="6"/>
  <c r="H3" i="6" s="1"/>
  <c r="J3" i="6" s="1"/>
  <c r="I2" i="6"/>
  <c r="G2" i="6"/>
  <c r="H41" i="5"/>
  <c r="G41" i="5"/>
  <c r="H40" i="5"/>
  <c r="G40" i="5"/>
  <c r="H39" i="5"/>
  <c r="G39" i="5"/>
  <c r="H38" i="5"/>
  <c r="G38" i="5"/>
  <c r="H37" i="5"/>
  <c r="G37" i="5"/>
  <c r="H36" i="5"/>
  <c r="G36" i="5"/>
  <c r="H35" i="5"/>
  <c r="G35" i="5"/>
  <c r="H34" i="5"/>
  <c r="G34" i="5"/>
  <c r="H33" i="5"/>
  <c r="G33" i="5"/>
  <c r="H32" i="5"/>
  <c r="G32" i="5"/>
  <c r="H31" i="5"/>
  <c r="G31" i="5"/>
  <c r="H30" i="5"/>
  <c r="G30" i="5"/>
  <c r="H29" i="5"/>
  <c r="G29" i="5"/>
  <c r="H28" i="5"/>
  <c r="G28" i="5"/>
  <c r="H27" i="5"/>
  <c r="G27" i="5"/>
  <c r="H26" i="5"/>
  <c r="G26" i="5"/>
  <c r="H25" i="5"/>
  <c r="G25" i="5"/>
  <c r="H24" i="5"/>
  <c r="G24" i="5"/>
  <c r="H23" i="5"/>
  <c r="G23" i="5"/>
  <c r="H22" i="5"/>
  <c r="G22" i="5"/>
  <c r="H21" i="5"/>
  <c r="G21" i="5"/>
  <c r="H20" i="5"/>
  <c r="G20" i="5"/>
  <c r="H19" i="5"/>
  <c r="G19" i="5"/>
  <c r="H18" i="5"/>
  <c r="G18" i="5"/>
  <c r="H17" i="5"/>
  <c r="G17" i="5"/>
  <c r="H16" i="5"/>
  <c r="G16" i="5"/>
  <c r="H15" i="5"/>
  <c r="G15" i="5"/>
  <c r="H14" i="5"/>
  <c r="G14" i="5"/>
  <c r="H13" i="5"/>
  <c r="G13" i="5"/>
  <c r="H12" i="5"/>
  <c r="G12" i="5"/>
  <c r="H11" i="5"/>
  <c r="G11" i="5"/>
  <c r="H10" i="5"/>
  <c r="G10" i="5"/>
  <c r="H9" i="5"/>
  <c r="G9" i="5"/>
  <c r="H8" i="5"/>
  <c r="G8" i="5"/>
  <c r="H7" i="5"/>
  <c r="G7" i="5"/>
  <c r="H6" i="5"/>
  <c r="G6" i="5"/>
  <c r="H5" i="5"/>
  <c r="G5" i="5"/>
  <c r="H4" i="5"/>
  <c r="G4" i="5"/>
  <c r="H3" i="5"/>
  <c r="G3" i="5"/>
  <c r="H2" i="5"/>
  <c r="G2" i="5"/>
  <c r="G41" i="7"/>
  <c r="G40" i="7"/>
  <c r="G39" i="7"/>
  <c r="G38" i="7"/>
  <c r="G37" i="7"/>
  <c r="G36" i="7"/>
  <c r="G35" i="7"/>
  <c r="G34" i="7"/>
  <c r="G33" i="7"/>
  <c r="G32" i="7"/>
  <c r="G31" i="7"/>
  <c r="G30" i="7"/>
  <c r="G29" i="7"/>
  <c r="G28" i="7"/>
  <c r="G27" i="7"/>
  <c r="G26" i="7"/>
  <c r="G25" i="7"/>
  <c r="G24" i="7"/>
  <c r="G23" i="7"/>
  <c r="G22" i="7"/>
  <c r="G21" i="7"/>
  <c r="G20" i="7"/>
  <c r="G19" i="7"/>
  <c r="G18" i="7"/>
  <c r="G17" i="7"/>
  <c r="G16" i="7"/>
  <c r="G15" i="7"/>
  <c r="G14" i="7"/>
  <c r="G13" i="7"/>
  <c r="G12" i="7"/>
  <c r="G11" i="7"/>
  <c r="G10" i="7"/>
  <c r="G9" i="7"/>
  <c r="G8" i="7"/>
  <c r="G7" i="7"/>
  <c r="G6" i="7"/>
  <c r="G5" i="7"/>
  <c r="G4" i="7"/>
  <c r="G3" i="7"/>
  <c r="G2" i="7"/>
  <c r="D8" i="12" l="1"/>
  <c r="D7" i="12"/>
  <c r="D6" i="12"/>
  <c r="D5" i="12"/>
  <c r="B5" i="9"/>
  <c r="G5" i="9"/>
  <c r="F5" i="9"/>
  <c r="E5" i="9"/>
  <c r="D5" i="9"/>
  <c r="C5" i="9"/>
  <c r="J258" i="6"/>
  <c r="J115" i="6"/>
  <c r="C9" i="12"/>
  <c r="D4" i="12"/>
  <c r="S10" i="6"/>
  <c r="S9" i="6"/>
  <c r="T8" i="6"/>
  <c r="S8" i="6"/>
  <c r="T13" i="6"/>
  <c r="T7" i="6"/>
  <c r="S7" i="6"/>
  <c r="S13" i="6"/>
  <c r="T6" i="6"/>
  <c r="S6" i="6"/>
  <c r="T12" i="6"/>
  <c r="T5" i="6"/>
  <c r="S5" i="6"/>
  <c r="S12" i="6"/>
  <c r="T11" i="6"/>
  <c r="S11" i="6"/>
  <c r="H2" i="6"/>
  <c r="T10" i="6"/>
  <c r="T9" i="6"/>
  <c r="J2" i="6" l="1"/>
  <c r="M5" i="6"/>
  <c r="N5" i="6"/>
  <c r="O5" i="6"/>
  <c r="M6" i="6"/>
  <c r="N6" i="6"/>
  <c r="O6" i="6"/>
  <c r="M7" i="6"/>
  <c r="N7" i="6"/>
  <c r="O7" i="6"/>
  <c r="M8" i="6"/>
  <c r="N8" i="6"/>
  <c r="O8" i="6"/>
  <c r="M9" i="6"/>
  <c r="N9" i="6"/>
  <c r="O9" i="6"/>
  <c r="M10" i="6"/>
  <c r="N10" i="6"/>
  <c r="O10" i="6"/>
  <c r="M11" i="6"/>
  <c r="N11" i="6"/>
  <c r="O11" i="6"/>
  <c r="M12" i="6"/>
  <c r="N12" i="6"/>
  <c r="O12" i="6"/>
  <c r="M13" i="6"/>
  <c r="N13" i="6"/>
  <c r="O13" i="6"/>
  <c r="P5" i="6" l="1"/>
  <c r="Q5" i="6"/>
  <c r="P6" i="6"/>
  <c r="Q6" i="6"/>
  <c r="P7" i="6"/>
  <c r="Q7" i="6"/>
  <c r="P8" i="6"/>
  <c r="Q8" i="6"/>
  <c r="P9" i="6"/>
  <c r="Q9" i="6"/>
  <c r="P10" i="6"/>
  <c r="Q10" i="6"/>
  <c r="P11" i="6"/>
  <c r="R11" i="6" s="1"/>
  <c r="Q11" i="6"/>
  <c r="P12" i="6"/>
  <c r="Q12" i="6"/>
  <c r="P13" i="6"/>
  <c r="Q13" i="6"/>
  <c r="R12" i="6" l="1"/>
  <c r="R13" i="6"/>
  <c r="R5" i="6"/>
  <c r="R6" i="6"/>
  <c r="R7" i="6"/>
  <c r="R8" i="6"/>
  <c r="R9" i="6"/>
  <c r="R10"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F2" authorId="0" shapeId="0" xr:uid="{00000000-0006-0000-0500-000001000000}">
      <text>
        <r>
          <rPr>
            <sz val="11"/>
            <rFont val="Carlito"/>
          </rPr>
          <t>Computed in Python: dot product of L2-normalized embeddings from tools/embeddings.embed_batch (all-MiniLM-L6-v2).</t>
        </r>
      </text>
    </comment>
    <comment ref="N2" authorId="0" shapeId="0" xr:uid="{00000000-0006-0000-0500-000002000000}">
      <text>
        <r>
          <rPr>
            <sz val="11"/>
            <rFont val="Carlito"/>
          </rPr>
          <t>Current production value: config.MATCH_THRESHOLD_DEFAULT = 0.35</t>
        </r>
      </text>
    </comment>
  </commentList>
</comments>
</file>

<file path=xl/sharedStrings.xml><?xml version="1.0" encoding="utf-8"?>
<sst xmlns="http://schemas.openxmlformats.org/spreadsheetml/2006/main" count="5960" uniqueCount="938">
  <si>
    <t>Question ID</t>
  </si>
  <si>
    <t>Question</t>
  </si>
  <si>
    <t>Rank</t>
  </si>
  <si>
    <t>Article ID</t>
  </si>
  <si>
    <t>Article Title</t>
  </si>
  <si>
    <t>Cosine Similarity</t>
  </si>
  <si>
    <t>Ground Truth</t>
  </si>
  <si>
    <t>Below Threshold</t>
  </si>
  <si>
    <t>H1</t>
  </si>
  <si>
    <t>What new payout platform has CBA introduced to replace cheque-based payments?</t>
  </si>
  <si>
    <t>413c847a-f31f-48e9-8aa3-215b13213f26</t>
  </si>
  <si>
    <t>Commonwealth Bank unveils payout platform ahead of cheque exit</t>
  </si>
  <si>
    <t>a8b21a0e-aa2c-42e8-8cfb-c7479fd1d8e3</t>
  </si>
  <si>
    <t>archTIS extends A$4 million CBA facility to support contract execution and growth</t>
  </si>
  <si>
    <t>f6a03202-fdda-4b58-97b6-a48e3659827b</t>
  </si>
  <si>
    <t>Did Profit Uptick and RBA Countdown Just Shift Commonwealth Bank's (ASX:CBA) Investment Narrative?</t>
  </si>
  <si>
    <t>6b7cca15-b540-451a-8034-b1fc4704f805</t>
  </si>
  <si>
    <t>AI Is Replacing Customer Service Jobs at CBA, Microsoft, Uber</t>
  </si>
  <si>
    <t>b1b83951-4c53-41ff-a55f-9a52d2b6570d</t>
  </si>
  <si>
    <t>Banks warn AI shopping agents outpace fraud protections</t>
  </si>
  <si>
    <t>5471b7ec-a7a3-4b6f-9ed9-1077daa933df</t>
  </si>
  <si>
    <t>Fast Money Bets on November RBA Hike in Fight Against Inflation</t>
  </si>
  <si>
    <t>99d3c240-a69d-471e-9754-bd53d542c01f</t>
  </si>
  <si>
    <t>Banks warn AI shopping agents could increase risk of scams, fraud and data privacy breaches</t>
  </si>
  <si>
    <t>b68a2d6d-73de-419c-b598-7ce0a1052836</t>
  </si>
  <si>
    <t>Commonwealth Bank of Australia appoints new CIO, CTO to boost technology, AI strategy</t>
  </si>
  <si>
    <t>d1b0bef8-6caa-4a64-88c9-3a0aa08b588b</t>
  </si>
  <si>
    <t>Interview: CBA AI chief on scaling A$400m in AI value with humans in loop</t>
  </si>
  <si>
    <t>c385b2b8-f8e0-4278-99be-f30dbd1d2167</t>
  </si>
  <si>
    <t>3 Australian Dividend Stocks Paying Over 5% While Cash Income Looks Less Certain</t>
  </si>
  <si>
    <t>H2</t>
  </si>
  <si>
    <t>How has CBA supported archTIS with a A$4 million financing facility?</t>
  </si>
  <si>
    <t>686cdb0c-4e0e-4c16-82e8-cc5fb13cd2ca</t>
  </si>
  <si>
    <t>Australian bank investors brace for tough times as mortgage demand plummets</t>
  </si>
  <si>
    <t>5332bf57-f144-4f09-9a22-0048374de7a6</t>
  </si>
  <si>
    <t>Tencent AI Spending Key After Magnificent 7 Rout</t>
  </si>
  <si>
    <t>6192bccf-9d89-4bdf-b571-47e3e02b311d</t>
  </si>
  <si>
    <t>3 Australian Dividend Stocks With At Least 3% Yield</t>
  </si>
  <si>
    <t>H3</t>
  </si>
  <si>
    <t>What changes has CBA made to its CIO and CTO positions?</t>
  </si>
  <si>
    <t>8c255177-b931-4783-a1bf-9e2dacfa1b3c</t>
  </si>
  <si>
    <t>Commonwealth Bank Stock And 2 More Dividend Shares For Reliable Income</t>
  </si>
  <si>
    <t>c4a7e0e3-afd4-4f96-a328-a4fc62d9dce2</t>
  </si>
  <si>
    <t>CommSec Eyes More U.S. IPOs After 28,000 SpaceX Applications</t>
  </si>
  <si>
    <t>H4</t>
  </si>
  <si>
    <t>How is CBA generating A$400 million in value from its AI initiatives?</t>
  </si>
  <si>
    <t>69dbc761-0547-45ff-9908-81fbc4ec506d</t>
  </si>
  <si>
    <t>Billionaire Sam Altman Says OpenAI Was ‘Pretty Wrong’ About AI Jobs, But Goldman Sachs Warns AI is Still Wiping Out 11,000 Jobs Per Month</t>
  </si>
  <si>
    <t>CSV Row</t>
  </si>
  <si>
    <t>Ticker</t>
  </si>
  <si>
    <t>Title</t>
  </si>
  <si>
    <t>Snippet</t>
  </si>
  <si>
    <t>Embedded Text (format_news_content)</t>
  </si>
  <si>
    <t>Embedding (all-MiniLM-L6-v2, normalized)</t>
  </si>
  <si>
    <t>CBA.AX</t>
  </si>
  <si>
    <t>A coalition of global banks says agentic AI tools that make purchases on behalf of consumers could expose card details and weaken payment security.</t>
  </si>
  <si>
    <t>Banks warn AI shopping agents could increase risk of scams, fraud and data privacy breaches - A coalition of global banks says agentic AI tools that make purchases on behalf of consumers could expose card details and weaken payment security.</t>
  </si>
  <si>
    <t>[-0.05099, 0.004412, -0.082482, -0.00913, 0.029339, 0.028803, 0.101072, 0.00717, -0.007238, -0.039414, 0.014977, 0.009957, 0.065063, -0.006501, 0.091146, -0.010006, 0.065569, 0.027633, -0.030093, 0.03226, 0.012441, -0.015713, -0.057893, 0.010292, -0.081095, -0.000567, 0.019981, -0.057118, -0.066315, 0.0045, 0.0651, 0.052246, 0.077569, 0.026662, 0.041609, -0.050985, -0.05682, 7e-06, 0.042773, -0.028856, -0.014416, -0.063962, -0.038921, -0.021972, 0.051355, 0.032223, 0.000866, 0.041038, -0.017591, 0.053122, -0.104528, -0.013055, 0.040316, -0.03307, -0.122557, -0.025499, 0.021914, -0.039072, -0.006576, -0.043162, 0.052584, -0.042594, 0.084833, 0.058371, 0.033079, 0.063096, -0.090461, -0.013011, -0.02028, -0.026112, 0.066991, -0.067103, -0.016, -0.027572, 0.054057, 0.035637, 0.028802, -0.027993, 0.073102, -0.045159, -0.063143, -0.068805, 0.028951, 0.043257, -0.037864, 0.038604, 0.024515, -0.049827, 0.021122, -0.099248, 0.062209, -0.021909, 0.038176, -0.020397, 0.088372, -0.025704, -0.090235, -0.093952, -0.010388, 0.009677, -0.000255, 0.073757, -0.000626, 0.042575, 0.0067, 0.008111, 0.088226, -0.020191, 0.059429, -0.019434, -0.033579, -0.014326, 0.075382, -0.04656, 0.068378, 0.035451, -0.050109, 0.117464, 0.020812, 0.040952, 0.034025, 0.028701, -0.016637, 0.025626, 0.040662, 0.083395, -0.036628, 0.0, -0.054546, 0.024338, -0.000492, -0.068857, 0.039155, -0.031431, -0.013725, -0.029859, -0.008222, 0.066394, -0.023904, 0.021657, -0.009874, 0.082266, 0.030508, 0.052272, -0.037285, 0.049946, 0.082813, 0.020965, 0.064095, -0.107464, 0.073249, -0.011519, 0.066541, 0.020555, -0.031472, -0.035378, 0.174533, -0.008025, -0.016096, 0.01118, 0.018817, 0.056434, -0.067001, 0.094482, -0.079703, -0.008869, 0.006112, 0.049279, -0.038548, 0.044344, 0.105616, -0.027287, -0.033099, 0.035546, -0.014505, -0.030543, -0.03355, 0.012601, -0.092761, 0.032837, -0.013977, -0.03536, 0.006683, -0.088972, 0.039513, 0.005256, 0.01559, -0.085081, -0.073783, -0.087139, -0.011515, 0.020903, -0.054392, 0.012227, 0.086426, -0.014613, -0.02314, 0.041929, -0.055382, 0.069087, 0.026036, -0.001456, -0.09131, -0.033181, -0.009703, -0.005643, 0.049566, -0.058714, -0.06178, -0.045808, 0.05009, 0.049834, -0.026879, 0.046048, -0.021584, -0.043527, 0.000112, -0.019484, -0.042224, -0.015445, -0.023148, 0.078251, 0.012675, -0.0, -0.104166, -0.089025, -0.083373, 0.034755, -0.076815, -0.037809, -0.044349, -0.009624, 0.068169, -0.021879, -0.029096, 0.072552, 0.024484, -0.020722, 0.043729, -0.035542, 0.035032, 0.003899, 0.054166, -0.07354, 0.045652, 0.047305, -0.023853, -0.022713, 0.049573, 0.021564, -0.032365, 0.010826, 0.03973, -0.024102, 0.002156, -0.003416, -0.01151, 0.080337, 0.001068, 0.027009, 0.019146, 0.040513, 0.010143, 0.039225, 0.013669, -0.008982, -0.077711, -0.042164, -0.006047, -0.035713, 0.027992, 0.049739, 0.055225, -0.01387, -0.06409, -0.002908, -0.012435, -0.054806, -0.127222, 0.105058, 0.096047, 0.009248, -0.005084, -0.012462, -0.06232, 0.020445, 0.023395, -0.020478, -0.026781, 0.001754, -0.034308, 0.024179, 0.092956, -0.051956, 0.066057, -0.057776, -0.041301, 0.095131, 0.002462, -0.009359, -0.016876, -0.047969, -0.01358, -0.053396, -0.003545, -0.017476, 0.073317, 0.029122, 0.037275, 7.7e-05, -0.021865, -0.064412, -0.022443, -0.046687, -0.062153, 0.000644, 0.002986, 0.015992, -0.160437, -0.0, 0.025506, -0.034105, 0.086399, 0.03195, 0.044405, -0.059996, -0.034972, 0.033038, -0.105735, -0.046228, 0.0641, -0.031094, -0.033533, -0.021565, 0.06694, 0.031769, 0.022583, -0.058074, -0.027038, -0.051849, 0.042193, -0.011359, 0.012225, -0.053224, -0.017197, -0.026852, 0.036719, 0.046726, -0.017839, 0.071291, -0.052169, 0.002605, 0.107915, 0.035795, 0.093559, 0.035945, 0.028255, -0.053848, -0.060115, -0.004305, 0.003053, -0.054078, -0.000731, -0.061221, 0.046472, -0.063913, -0.013961, -0.112885, 0.137237, -0.020816, -0.079606, -0.008166, 0.049255, 0.114267, 0.07705, -0.078099, 0.023855, -0.070955, 0.109279, 0.040944, -0.006684, 0.010301, 0.031, -0.094949]</t>
  </si>
  <si>
    <t>NatWest, Bank of America, and four other banks say consumers risk scams and data breaches as AI commerce tools advance faster than industry safeguards</t>
  </si>
  <si>
    <t>Banks warn AI shopping agents outpace fraud protections - NatWest, Bank of America, and four other banks say consumers risk scams and data breaches as AI commerce tools advance faster than industry safeguards</t>
  </si>
  <si>
    <t>[-0.014682, -0.07234, -0.054475, -0.0042, 0.091505, 0.025968, 0.079649, -0.013261, 0.008069, -0.032533, 0.021076, 0.042247, 0.083079, -0.044598, 0.066689, 0.012786, 0.033938, 0.005379, -0.034333, -0.009791, 0.026608, -0.011332, -0.045449, 0.048694, -0.056949, -0.008387, 0.012224, -0.063886, -0.085033, -0.040651, -0.000701, 0.01526, 0.051502, 0.016273, 0.044642, -0.044168, -0.001241, -0.009924, 0.072087, -0.07836, 0.017584, -0.062724, -0.021652, 0.007999, 0.047123, 0.05284, 0.002984, 0.022436, -0.003995, 0.042775, -0.077769, -0.029279, 0.033146, 0.004387, -0.106084, 0.012608, 0.031972, 0.011636, 0.0018, 0.008478, 0.10695, -0.041439, 0.069278, 0.050113, 0.028973, 0.068716, -0.115218, 0.008757, -0.03658, -0.007114, 0.062306, -0.117635, -0.076255, 0.016987, 0.020302, 0.054841, 0.021542, -0.022179, 0.090914, -0.03083, -0.028192, -0.071816, -0.007991, 0.046258, -0.010754, 0.002887, -0.009926, -0.044687, 0.013775, -0.080033, 0.063373, -0.047075, 0.042719, 0.011706, 0.055678, -0.082157, -0.070915, -0.047362, 0.03023, -0.014906, 0.025387, 0.097655, -0.03198, 0.026616, -0.013732, -0.034767, 0.049769, -0.019794, 0.062153, 0.032335, 0.023819, 0.021401, 0.104675, 0.006455, 0.048386, 0.050984, -0.071615, 0.094216, 0.039845, 0.04164, 0.01236, 0.10067, 0.003205, -0.01093, 0.030131, 0.045112, -0.03338, 0.0, -0.067817, 0.0302, 0.00518, -0.074722, 0.028347, -0.021197, -0.046504, 0.019061, -0.002501, 0.111221, -0.084189, 0.001976, -0.005517, 0.024142, 0.020884, 0.066327, 0.020269, 0.044258, 0.03045, -0.006614, 0.066167, -0.08323, 0.054544, 0.030425, 0.063573, -0.021464, -0.039843, 0.003477, 0.144367, 0.009627, -0.012916, 0.024691, 0.012457, 0.031795, -0.047305, 0.069026, -0.066962, -0.035555, -0.025933, 0.035944, -0.078983, 0.06349, 0.071547, 0.04146, -0.006889, 0.023129, -0.023316, -0.023302, -0.029594, 0.033954, -0.117273, 0.050591, -0.027656, -0.007776, 0.015747, -0.071559, 0.040774, -0.000371, 0.042934, -0.002683, -0.0183, -0.045794, -0.053187, 0.014631, -0.061277, 0.021235, 0.073244, -0.003916, -0.057869, 0.03633, -0.0053, 0.03825, 0.004742, 0.011284, -0.103126, -0.069024, -0.012102, -0.018272, 0.021264, -0.107209, -0.035144, -0.054191, 0.102573, 0.057985, -0.052416, 0.007263, -0.016079, -0.023021, 0.003788, -0.000416, -0.081468, -0.019793, 0.053786, 0.06766, -0.02576, -0.0, -0.104301, -0.079946, -0.038072, 0.029913, -0.054901, -0.031646, -0.051896, -0.002555, 0.052064, -0.040671, -0.059612, 0.052462, 0.069309, 0.016511, 0.024392, -0.039951, 0.087157, -0.004604, 0.010604, -0.08797, 0.129662, 0.051487, -0.001961, -0.017384, -0.015924, 0.025813, -0.042515, 0.04171, 0.057651, -0.009072, 0.003138, 0.020354, 0.006395, 0.109905, -0.035543, -0.046641, 0.035064, 0.006737, -0.015815, 0.029449, 0.020024, 0.032935, -0.111043, -0.051666, -0.000581, -0.01218, 0.013732, 0.023595, 0.062445, 0.009036, -0.052202, -0.026131, -0.008636, -0.014548, -0.116487, 0.077669, 0.093303, -0.000328, -0.014678, 0.014919, -0.041454, 0.014801, 0.042395, -0.005187, -0.012171, -0.008358, -0.007644, 0.06363, 0.071983, -0.076715, 0.026447, -0.055226, -0.057355, 0.06936, -0.062141, -0.001094, -0.035778, -0.063426, -0.032451, -0.04084, 0.03048, -0.040764, 0.093319, 0.073305, 0.055694, 0.047797, -0.000252, -0.078255, -0.029191, -0.042534, -0.078872, -0.050017, -0.033068, 0.019379, -0.098648, -0.0, 0.027222, -0.040245, 0.090737, 0.021558, 0.078811, -0.04827, -0.017831, 0.085447, -0.074698, -0.079585, 0.018362, -0.05194, -0.048252, -0.018593, 0.060891, 0.015276, -0.014853, -0.029133, -0.016393, -0.011511, 0.034712, 0.017073, -0.009595, -0.074804, -0.019317, -0.032944, 0.015718, 0.090807, -0.002497, 0.030578, -0.084149, -0.022018, 0.117919, -0.018006, 0.03045, 0.031125, 0.068317, -0.010896, -0.03126, -0.002592, -0.034444, -0.073048, -0.012392, -0.041141, 0.036489, -0.088281, -0.026767, -0.038617, 0.150308, -0.007221, -0.042086, -0.053598, 0.056777, 0.106801, 0.097661, -0.080815, -0.025991, -0.089444, 0.041097, 0.03388, 0.005198, -0.070446, 0.059856, -0.092247]</t>
  </si>
  <si>
    <t>Ranil Boteju, the chief AI officer at CBA, tells Satarupa Bhowmik how 80% of the bank's engineers use AI agents to triple code output and resolve over 15,000 security issues.</t>
  </si>
  <si>
    <t>Interview: CBA AI chief on scaling A$400m in AI value with humans in loop - Ranil Boteju, the chief AI officer at CBA, tells Satarupa Bhowmik how 80% of the bank's engineers use AI agents to triple code output and resolve over 15,000 security issues.</t>
  </si>
  <si>
    <t>[-0.012538, 0.012886, -0.11598, -0.005814, -0.089956, -0.032957, 0.043721, 0.082678, -0.035048, 0.01316, -0.038461, -0.068234, 0.036145, -0.036582, -0.028382, 0.116206, 0.019069, 0.014053, -0.070664, -0.1064, -0.031932, -0.077033, -0.036367, -0.034444, 0.003838, 0.030171, 0.040133, -0.088762, 0.010082, -0.058986, 0.006572, 0.054676, 0.100891, 0.004948, 0.009633, 0.012246, -0.018043, -0.011169, 0.093883, 0.019782, 0.010248, 0.002191, -0.024807, -0.092982, 0.066974, 0.027927, -0.021135, 0.063507, 0.021954, -0.008183, -0.060854, 0.036045, 0.011878, -0.00715, -0.042957, -0.060149, 0.049593, 0.001918, 0.088954, 0.022975, 0.034834, 0.034375, 0.053378, 0.066969, 0.183508, 0.005532, -0.085799, -0.076195, -0.058584, -0.018338, 0.040762, -0.048662, -0.040217, -0.060891, 0.07552, -0.00237, -0.012567, -0.017897, 0.053917, -0.061292, -0.004508, -0.08257, 0.004646, 0.047036, -0.010004, 0.030193, 0.02728, 0.003996, 0.041833, 0.048937, 0.090065, -0.035102, 0.042766, 0.003832, 0.035909, 0.048584, -0.076269, -0.028611, -0.015235, 0.008419, 0.080715, 0.001148, -0.000155, -0.03026, -0.075797, 0.016371, 0.143877, -0.008828, 0.0454, -0.038075, -0.012482, 0.020257, 0.027133, -0.034793, 0.024219, 0.002945, -0.010138, 0.109592, 0.01223, 0.022075, 0.074014, 0.00107, -0.027407, 0.020481, 0.0196, 0.020437, -0.070226, 0.0, -0.042624, 0.0452, 0.023326, -0.045375, 0.018921, -0.031081, -0.02153, -0.00581, -0.003386, 0.030854, -0.081154, 0.041718, -0.010982, 0.033067, 0.001511, -0.032408, -0.026142, 0.017773, -0.004157, 0.002231, 0.092136, -0.110355, 0.016975, 0.006774, 0.058758, 0.072965, 0.034642, -0.015586, 0.056088, 0.017174, -0.087615, 0.035706, -0.070798, -0.02006, -0.033862, -0.000653, 0.029476, -0.017115, -0.017309, 0.095296, -0.080477, 0.085855, 0.05475, -0.038629, -0.05171, 0.034664, -0.001804, -0.015514, -0.02503, -0.027074, -0.081002, 0.004528, -0.01965, -0.072604, 0.096105, -0.068194, 0.030492, 0.021384, 0.080379, 0.116826, -0.009728, 0.018497, -0.117222, 0.113315, -0.057496, 0.028934, -0.023902, 0.040191, 0.032796, -0.007122, -0.003107, 0.060485, 0.030315, 0.015759, -0.072871, -0.049024, 0.029475, -0.012195, 0.011905, 0.000665, -0.070253, 0.041145, 0.051313, -0.046775, 0.052161, -0.029634, -0.051861, -0.015458, -0.044089, 0.041592, -0.047138, -0.058207, 0.040225, 0.039614, -0.049135, -0.0, -0.1088, -0.02088, 0.002344, 0.001043, 0.037515, -0.017319, 0.000204, -0.007947, 0.018575, 0.037813, -0.055391, 0.002078, 0.030917, 0.055635, 0.054329, -0.040387, 0.005575, -0.054586, 0.026178, -0.032376, 0.041309, 0.039063, -0.00494, 0.04099, 0.019094, 0.033209, -0.103917, 0.026027, 0.052565, 0.017713, -0.0255, -0.06144, -0.063419, 0.073401, -0.056011, 0.033297, 0.041506, -0.034539, 0.02213, 0.080139, 0.013188, -0.027608, -0.115665, -0.04915, 0.030941, -0.001455, -0.00201, -0.020398, -0.025183, -0.045501, 0.018307, -0.008492, -0.013365, -0.023606, -0.103591, 0.054052, 0.04594, 0.017769, 0.018514, -0.043038, 0.021456, -0.02933, 0.035968, 0.030423, -0.08433, 0.035473, 0.053018, 0.050903, -0.063372, -0.039404, 0.051286, -0.099418, -0.011927, 0.052264, -0.070936, 0.04837, -0.053236, -0.062916, 0.047004, -0.029872, -0.078039, -0.030709, 0.026335, 0.027209, 0.065038, 0.086251, 0.044912, -0.057703, 0.0024, 0.07178, -0.060155, -0.009911, 0.026767, 0.004656, -0.10232, -0.0, -0.057239, -0.028972, 0.034136, 0.007394, 0.074098, -0.040717, -0.108153, -0.004753, -0.0204, -0.011062, 0.054615, -0.033423, -0.052624, 0.057077, 0.06337, 0.010182, -0.026861, 0.003649, 0.004236, -0.064013, 0.067049, 0.051329, -0.027514, -0.069233, 0.002067, -0.04136, -0.05192, 0.079587, -0.032464, 0.035908, -0.052478, 0.056316, -0.001441, -0.017247, 0.10305, -0.027211, -0.021575, 0.019025, -0.004455, -0.044715, -0.00861, -0.004309, 0.017782, -0.031841, 0.080898, -0.032403, -0.136556, -0.082605, 0.074137, -0.094088, 0.01561, -0.044086, 0.007668, 0.116952, 0.177159, -0.028598, -0.017508, -0.046684, -0.016376, 0.017031, -0.014366, -0.033761, -0.046361, -0.060704]</t>
  </si>
  <si>
    <t>c23b800e-0d81-4f22-b84c-948dcb872f02</t>
  </si>
  <si>
    <t>Asian Stocks Choppy as Investors Weigh Pause in Bond Selloff</t>
  </si>
  <si>
    <t>Asian equities fluctuated between gains and losses Thursday afternoon as investors weighed a pause in the global bond selloff, while the yen strengthened to nearly a four-week high against the dollar.</t>
  </si>
  <si>
    <t>Asian Stocks Choppy as Investors Weigh Pause in Bond Selloff - Asian equities fluctuated between gains and losses Thursday afternoon as investors weighed a pause in the global bond selloff, while the yen strengthened to nearly a four-week high against the dollar.</t>
  </si>
  <si>
    <t>[0.01166, -0.045078, 0.045879, 0.066219, -0.024982, -0.065276, 0.024268, 0.033273, -0.003228, -0.031656, 0.041612, 0.042376, -0.085986, -0.013278, 0.022194, -0.015344, -0.014185, 0.058692, -0.06073, -0.038472, -0.040678, -0.037289, 0.032682, 0.061973, 0.059942, 0.028826, -0.012083, 0.008807, 0.057151, -0.012636, -0.074995, 0.023487, 0.000374, 0.006776, -0.014882, 0.021985, -0.025838, 0.033625, 0.007844, -0.042056, 0.001968, 0.075948, 0.093572, -0.065885, 0.028537, -0.041628, 0.004171, -0.015631, 0.029607, -0.022143, -0.019503, 0.042335, -0.007857, -0.017647, -0.025504, 0.051457, 0.032655, 0.048858, -0.005133, 0.035595, -0.019947, 0.044812, 0.019297, -0.000278, 0.000988, 0.104439, 0.02356, 0.027931, 0.049329, 0.023005, 0.05449, 0.043029, -0.006387, -0.013097, -0.087729, -0.013848, 0.010651, -0.022438, 0.011174, -0.00271, -0.008383, -0.06722, 0.013826, -0.12394, 0.009291, 0.024355, 0.06053, -0.046977, -0.015593, 0.069678, 0.095373, 0.104904, 0.029348, 0.020234, -0.075201, 0.041495, 0.012571, -0.0286, -0.049781, 0.06418, 0.083693, 0.116603, -0.015073, 0.002576, -0.022808, -0.058453, 0.014261, -0.008747, -0.077801, 0.020998, -0.037108, 0.084524, -0.085124, -0.024337, -0.074404, 0.04995, -0.0017, -0.001924, -0.063186, 0.056525, 0.018742, -0.020778, -0.114183, -0.037478, 0.033675, 0.033634, -0.033676, 0.0, 0.004758, -0.054605, 0.028967, 0.041596, -0.117996, -0.018905, -0.057436, -0.020961, -0.098505, -0.023601, -0.018707, -0.037743, -0.011243, -0.041731, 0.069663, -0.092043, -0.010237, 0.068788, 0.048288, 0.029477, 0.045045, -0.024801, -0.002657, -0.032868, -0.064297, -0.017185, -0.025025, 0.001052, -0.047524, 0.052729, -0.007851, -0.020372, -0.013719, 0.004016, -0.08452, -0.055563, -0.026181, 0.005199, 0.045685, -0.002484, 0.000282, 0.03763, -0.063839, -0.033618, 0.033652, -0.013905, 0.01948, -0.049662, -0.035418, 0.082995, -0.01328, 0.027864, 0.002958, 0.095382, 0.016237, -0.012581, 0.116385, -0.068982, -0.110692, 0.033835, -0.023058, 0.027063, -0.097349, -0.037314, -0.105712, 0.082054, -0.024521, -0.030074, -0.168051, 0.042726, -0.002079, -0.040548, 0.054226, 0.040307, 0.011747, -0.059792, -0.056728, -0.02453, 0.029193, 0.034229, 0.065958, 0.005387, 0.041434, -0.007925, -0.06645, 0.026314, 4.5e-05, -0.011586, 0.051071, -0.008738, -0.018531, 0.002334, 0.096344, -0.014415, 0.009125, -0.0, -0.038556, -0.007143, -0.116241, 0.02376, 0.001491, 0.019246, 0.018153, 0.072684, -0.053585, -0.077295, 0.023441, -0.062653, -0.047262, 0.092164, -0.025025, -0.062096, 0.158013, 0.082233, 0.079285, -0.020674, 0.069573, -0.057856, 0.046898, 0.045126, 0.037668, 0.040798, -0.019251, 0.078258, 0.005124, 0.012284, 0.003385, 0.033115, 0.029506, 0.052861, -0.014158, 0.0048, -0.073127, -0.019282, -0.057968, -0.022594, -0.04742, 0.017942, 0.069864, 0.05258, 0.035696, 0.040778, 0.011961, 0.035558, -0.019948, -0.025275, -0.002721, 0.034306, -0.009934, 0.025149, -0.061497, 0.03215, -0.036708, -0.06489, -0.057958, 0.022006, -0.05226, -0.012589, 0.006918, 0.034028, 0.010144, -0.07104, 0.111345, -0.043653, 0.071207, -0.070872, 0.037237, -0.030551, 0.013688, -0.019339, 0.003105, 0.096441, -0.05834, -0.018672, 0.040315, 0.023548, 0.01855, 0.060555, 0.020461, 0.038869, -0.08989, 0.094791, -0.127003, 0.011066, 0.036082, 0.006766, -0.000175, 0.023678, 0.041795, -0.010548, 0.005947, -0.0, -0.004423, -0.096633, -0.018244, 0.032127, -0.084626, 0.016056, 0.054336, 0.02427, 0.073423, 0.005567, 0.033525, -0.010986, -0.056814, 0.009017, -0.104203, -0.078396, -0.037538, 0.126278, -0.020021, -0.047642, 0.062633, -0.053607, 0.060259, -0.04331, 0.006032, 0.03836, -0.071088, 0.07423, -0.016048, -0.036511, 9.2e-05, -0.073981, 0.080829, 0.080968, 0.062867, 0.0646, 0.019051, 0.014208, 0.003943, 0.045758, -0.023997, -0.068819, 0.009008, 0.023744, 0.067881, -0.021952, -0.004589, 0.060232, 0.123246, -0.09046, -0.023378, -0.039937, -0.088857, 0.000914, 0.003661, 0.004484, -0.008284, 0.021053, -0.042193, 0.008918, -0.055059, -0.106722, -0.150966, 0.093932]</t>
  </si>
  <si>
    <t>With Australian credit growth still resilient, income investors are looking harder at local businesses that share profits through dividends. Higher global interest rate expectations have pushed up funding costs, so reliable cash payouts from established Australian dividend stocks can feel even more valuable. This article walks through three higher yielding dividend options from a focused screener and explains why they may deserve a closer look now. The three stocks in this article are just a...</t>
  </si>
  <si>
    <t>3 Australian Dividend Stocks With At Least 3% Yield - With Australian credit growth still resilient, income investors are looking harder at local businesses that share profits through dividends. Higher global interest rate expectations have pushed up funding costs, so reliable cash payouts from established Australian dividend stocks can feel even more valuable. This article walks through three higher yielding dividend options from a focused screener and explains why they may deserve a closer look now. The three stocks in this article are just a...</t>
  </si>
  <si>
    <t>[-0.033398, -0.06279, -0.035794, 0.019417, 0.038975, 0.048319, -0.003688, -0.022353, 0.063222, 0.038204, 0.012999, 0.001172, -0.097216, 0.075997, -0.0003, -0.00179, -0.054892, -0.022133, 0.00314, 0.017766, -0.088347, -0.025548, 0.00551, 0.024832, 0.140462, 0.006124, -0.03393, 0.028531, 0.035762, -0.032797, 0.029336, 0.137494, 0.123737, -0.067748, -0.023733, 0.012263, -0.004666, 0.004278, 0.038314, 0.0256, 0.025714, 0.036501, 0.047901, -0.04613, -0.05459, -0.096765, 0.042904, -0.073374, 0.033903, 0.040374, -0.018402, 0.019302, 0.002976, -0.09142, -0.028839, -0.08282, -0.025024, 0.02538, 0.02701, -0.023369, 0.01654, 0.007606, 0.05696, -0.018498, 0.059522, 0.038679, -0.057804, 0.064672, -0.06199, -0.011219, -0.022834, -0.010549, -0.073946, -0.087633, -0.087294, 0.031744, 0.059974, 0.026554, -0.015915, -0.019208, -0.045571, -0.024149, 0.005349, 0.033407, -0.052269, -0.079067, 0.074379, -0.032687, 0.045162, -0.014693, -0.011429, 0.035333, 0.033186, 0.020033, 0.014854, 0.01113, -0.091109, -0.101596, -0.120284, -0.035603, 0.10646, 0.094692, -0.00985, 0.025594, 0.027317, -0.015588, -0.044961, -0.008552, 0.096738, 0.037279, 0.011717, 0.087717, -0.042879, -0.036077, -0.078595, 0.005879, -0.085958, -0.005871, 0.088067, 0.042463, 0.065902, 0.053821, -0.038762, -0.073755, 0.086091, -0.003615, -0.034206, 0.0, 0.009703, 0.021216, 0.070019, 0.073728, 0.052045, -0.054178, -0.027717, -0.047258, -0.083541, 0.007728, -0.011361, 0.035057, 0.064703, -0.028337, 0.017274, -0.044751, -0.039663, 0.031756, 0.040799, 0.087544, 0.053848, 0.01641, 0.044853, -0.050545, 0.090704, -0.074787, 0.018263, 0.018384, -0.002795, 0.004046, 0.02732, 0.038173, -0.077415, -0.048141, -0.06172, 0.004771, -0.017529, 0.000809, 0.017799, -0.016633, -0.002985, -0.028749, -0.022404, 0.024168, 0.028551, -0.005224, -0.009965, -0.034465, 0.004665, 0.078241, -0.039024, 0.014724, -0.034574, 0.006383, -0.019045, -0.028243, -0.064125, -0.000688, -0.010846, -0.041689, 0.023454, -0.019199, -0.107235, -0.026625, -0.094381, 0.098856, 0.035136, -0.026396, -0.068526, 0.107121, -0.052185, 0.011528, 0.076394, -0.01146, -0.026023, -0.025964, -0.072124, 0.031739, 0.093549, -0.00537, 0.021419, 0.016444, -0.012508, -0.029643, -0.011814, 0.016027, 0.023039, -0.020618, 0.050984, -0.010706, -0.044593, -0.039208, 0.059729, -0.074656, -0.011816, -0.0, -0.008591, -0.075617, -0.006539, -0.013521, -0.030857, -0.025071, 0.038225, 0.007591, 0.016773, 0.014862, -0.040274, 0.107347, 0.016274, 0.002994, -0.017096, -0.020261, 0.081323, -0.034544, 0.092009, -0.116082, 0.055895, -0.018632, -0.053243, 0.071107, 0.014677, 0.071351, -0.091858, -0.024914, 0.024415, -0.049953, -0.071365, 0.04838, -0.041459, 0.025277, -0.030129, 0.01361, -0.047325, 0.023822, -0.002481, 0.08349, -0.017651, -0.002211, 0.012861, 0.004057, -0.035281, 0.008211, 0.008024, 0.060645, 0.023984, 0.027451, -0.031405, 0.012911, -0.054424, 0.088261, -0.033515, 0.044367, -0.054878, 0.006243, 0.012216, 0.054401, -0.021411, 0.126845, -0.001505, 0.012, -0.002952, 0.020292, -0.058679, 0.051607, -0.010668, -0.028921, 0.073891, -0.050505, 0.104447, -0.037335, 0.064165, 0.154246, -0.011543, -0.036576, -0.016681, 0.032215, 0.071552, 0.002008, 0.013224, 0.122084, -0.084288, 0.050927, 0.038767, -0.005652, 0.048191, -0.089701, -0.073369, -0.060396, 0.061385, 0.096097, 0.01883, -0.0, -0.059885, -0.063388, -0.071662, -0.021733, -0.010966, 0.001806, 0.035117, 0.023631, 0.036891, 0.004711, 0.041199, -0.029597, -0.086464, 0.001602, -0.020442, -0.015193, -0.037965, 0.018388, -0.014379, -0.049863, 0.026017, 0.011295, 0.058429, 0.005308, -0.019795, 0.062008, -0.021962, -0.012166, -0.056835, 0.080527, -0.010668, 0.023586, 0.023859, 0.03552, -0.023938, 0.002734, 0.020568, 0.033199, 0.042637, 0.037863, -0.033515, -0.120465, -0.082945, -0.015058, -0.096109, -0.015225, -0.085004, 0.000666, -0.013544, -0.128217, -0.023672, 0.009895, -0.034127, 0.099384, 0.018129, 0.001479, -0.104063, -0.006772, 0.014251, -0.028147, -0.038325, -0.161041, 0.028854, 0.077417]</t>
  </si>
  <si>
    <t>With bond yields across major markets reflecting expectations for tighter central bank policy, income from cash and short-term bonds can feel uncertain again. Reliable dividend income looks more valuable when policy paths shift and inflation stays in focus. Dividend powerhouses with yields above 5% and well covered, growing payouts offer one way to seek steadier cash flow. This article highlights three stocks from that screener. The three dividend stocks covered next are just a sample from...</t>
  </si>
  <si>
    <t>3 Australian Dividend Stocks Paying Over 5% While Cash Income Looks Less Certain - With bond yields across major markets reflecting expectations for tighter central bank policy, income from cash and short-term bonds can feel uncertain again. Reliable dividend income looks more valuable when policy paths shift and inflation stays in focus. Dividend powerhouses with yields above 5% and well covered, growing payouts offer one way to seek steadier cash flow. This article highlights three stocks from that screener. The three dividend stocks covered next are just a sample from...</t>
  </si>
  <si>
    <t>[-0.057789, -0.067497, -0.038848, -0.006074, 0.049677, 0.020223, 0.014186, -0.059408, 0.01436, 0.042265, -0.005234, -0.016453, -0.106396, 0.047942, 0.016012, -0.00426, -0.026763, 0.017775, 0.000381, 0.013634, -0.046898, -0.043421, 0.004105, 0.025199, 0.139629, 0.040418, -0.023361, -0.002571, 0.020517, -0.042867, 0.061013, 0.080699, 0.072357, -0.039605, -0.045642, 0.010168, 0.009997, -4.8e-05, 0.047278, 0.082704, 0.016979, 0.008351, 0.038544, -0.049847, -0.044101, -0.103143, 0.02416, -0.031182, 0.030648, 0.026158, -0.012523, -0.001473, -0.000913, 0.005809, -0.043978, -0.052525, -0.006718, -0.000299, 0.008393, -0.020836, 0.012688, -0.002832, 0.051301, -0.011281, 0.023451, 0.021341, -0.061939, 0.061655, -0.067781, -0.026301, -0.046574, -0.027186, -0.062216, -0.095079, -0.103491, 0.015898, 0.085154, 0.02442, -0.014672, -0.051802, -0.022162, 0.021543, 0.003211, 0.006509, -0.035044, -0.085559, 0.048169, -0.034129, 0.019443, -0.025696, 0.002839, 0.02999, 0.019448, 0.03569, 0.035328, 0.023285, -0.068716, -0.07827, -0.06906, -0.02592, 0.122069, 0.107166, 0.013062, 0.062032, 0.045799, -0.01173, -0.050353, -0.006879, 0.049229, -0.003461, 0.019959, 0.083248, -0.003547, -0.024443, -0.043091, 0.003731, -0.085223, 0.020454, 0.096838, 0.064675, 0.087864, 0.058495, 0.004078, -0.06512, 0.102333, 0.024386, 0.017787, 0.0, 0.001994, -5.1e-05, 0.065808, 0.107051, 0.036778, -0.042468, -0.025758, -0.058192, 0.001896, -0.001499, -0.023045, 0.034614, 0.035516, 0.006262, -0.015021, -0.051388, -0.075963, 0.054759, 0.043029, 0.093616, 0.009189, 0.007084, 0.017914, -0.034358, 0.096235, -0.034361, 0.012088, -0.0101, -0.00195, 0.033213, 0.027337, 0.07503, -0.049076, -0.087093, -0.077342, -0.006631, 0.002283, 0.001169, 0.027754, -0.03903, -0.010375, -0.06847, 0.005258, 0.003921, -0.04097, -0.043363, -0.024966, -0.007764, 0.007943, 0.035952, -0.015335, -0.01482, -0.018724, -0.008239, -0.037553, -0.040308, -0.062483, -0.020336, -0.023894, -0.029331, -0.021219, 0.001352, -0.127114, -0.008723, -0.112472, 0.111268, 0.032436, 0.015765, -0.060501, 0.119657, -0.034973, 0.02492, 0.059728, 0.046371, -0.012712, 0.007579, -0.047222, 0.04256, 0.039228, -0.010427, 0.004235, 0.024952, 0.035992, -0.035569, 0.003434, 0.037745, 0.026836, -0.043642, 0.074315, -0.026255, -0.031465, -0.064899, 0.08472, -0.062155, -0.03526, -0.0, -0.002052, -0.006679, -0.027615, -0.013196, -0.065484, 0.000394, 0.053862, 0.006183, 0.004691, 0.056055, -0.045581, 0.112403, -0.025977, -0.024802, -0.002404, -0.01926, 0.064333, -0.060075, 0.07225, -0.094624, 0.084337, -0.041552, -0.061363, 0.103425, 0.03307, 0.078318, -0.131589, -0.039977, 0.031958, 0.000666, -0.012725, -0.031753, -0.016135, -0.025302, -0.020049, 0.012433, -0.063916, 0.024233, -0.029964, 0.079661, -0.043997, -0.018943, 0.042876, 0.006462, -0.027361, -0.027067, -0.00616, 0.057294, 0.041192, 0.033815, -0.020099, 0.036538, -0.03292, 0.099595, -0.06194, 0.062362, -0.053626, 0.034991, -0.036331, 0.0341, -0.033094, 0.092096, -0.003643, -0.025441, 0.017592, 0.01472, -0.079181, 0.040033, -0.000554, -0.014478, 0.067502, -0.038933, 0.132521, -0.040808, 0.08462, 0.1724, -0.005219, -0.034553, -0.015078, 0.105288, 0.032454, -0.029884, 0.040922, 0.077575, -0.12378, 0.069438, 0.029925, -0.028446, 0.059766, -0.088874, -0.044461, -0.077104, 0.016394, 0.056768, 0.033577, -0.0, -0.025527, -0.070194, -0.034646, -0.057568, -0.028021, -0.0212, 0.019247, -0.007769, 0.055982, -0.003377, 0.032101, 0.012563, -0.04556, -0.024229, -0.045145, -0.016047, -0.052995, 0.015026, -0.016144, -0.081697, 0.041519, 0.008948, 0.023312, 0.01031, -0.016526, 0.06601, 0.005115, 0.008435, -0.050238, 0.069294, 0.00343, 0.020149, 0.022777, -0.003936, 0.022554, 0.047384, 0.089271, 0.006344, 0.047465, 0.081789, -0.019996, -0.144097, -0.056617, -0.010449, -0.081477, -0.013347, -0.097098, 0.010297, -0.025274, -0.161412, -0.018316, 0.027139, -0.060505, 0.084407, 0.005605, -0.056244, -0.104534, 0.011109, 0.008219, -0.039767, -0.035579, -0.108341, 0.058339, 0.08328]</t>
  </si>
  <si>
    <t>3197f837-7d31-4fd0-9208-cca4c823c4f2</t>
  </si>
  <si>
    <t>Three of Australia's four major banks forecast another rate hike this year</t>
  </si>
  <si>
    <t>SYDNEY, Aug 27 (Reuters) - The Commonwealth Bank of Australia and the National Australia Bank on Thursday joined ANZ in forecasting another rate hike this year after a hot inflation print reignited</t>
  </si>
  <si>
    <t>Three of Australia's four major banks forecast another rate hike this year - SYDNEY, Aug 27 (Reuters) - The Commonwealth Bank of Australia and the National Australia Bank on Thursday joined ANZ in forecasting another rate hike this year after a hot inflation print reignited</t>
  </si>
  <si>
    <t>[-0.012481, -0.089297, -0.074646, 0.090728, 0.00413, 0.011362, -0.042485, -0.020466, -0.013267, 0.053397, -0.024232, -0.035385, -0.034141, 0.067862, 0.022673, 0.031259, -0.147181, -0.022818, -0.004399, -0.05586, -0.034669, -0.052577, -0.022253, -0.003983, 0.061569, -0.017235, -0.029606, 0.030687, -0.050763, -0.023831, -0.066742, 0.088887, -0.041855, -0.078016, 0.050129, -0.058526, -0.003425, 0.022525, -0.005074, 0.003898, 0.101183, 0.036508, 0.042075, 0.006503, -0.015163, 0.00705, -0.005446, -0.002163, -0.030186, 0.096998, -0.018457, -0.036562, 0.020815, -0.044477, -0.025067, -0.019503, -0.028591, -0.033877, 0.015728, -0.096853, 0.008592, 0.009368, -0.027925, -0.006067, 0.059894, 0.072825, -0.103585, -0.007393, -0.061148, -0.002908, -0.085563, -0.139079, 0.021162, -0.104836, -0.007875, -0.041084, 0.153892, 0.049792, 0.00806, -0.047913, 0.03201, -0.079706, 0.015977, -0.049254, -0.008581, -0.057645, 0.06157, -0.038224, 0.013095, 0.015502, 0.014669, 0.058092, 0.043053, -0.003379, -0.004651, 0.018286, -0.071806, -0.057019, 0.051024, 0.002236, 0.134502, 0.068002, 0.051792, 0.140443, 0.052116, 0.043389, -0.051361, -0.006195, 0.053082, 0.012356, 0.011348, 0.093648, 0.016355, -0.054329, -0.023662, 0.054115, -0.012997, 0.073378, 0.035261, 0.083444, -0.004557, -0.01556, 0.049098, -0.047411, 0.105864, 0.059153, -0.082906, -0.0, -0.04459, 0.030545, 0.05208, -0.05746, 0.043108, -0.038346, -0.040713, 0.010267, -0.032947, -0.036429, -0.013168, 0.043416, 0.065329, 0.042315, -0.066803, -0.069326, 0.070583, 0.006289, 0.01961, 0.11586, -0.026012, 0.036539, -0.005753, 0.007076, -0.000273, -0.001441, 0.097347, 0.010847, -0.011151, -0.006439, 0.022654, 0.013291, -0.075208, -0.058027, 0.016691, -0.022115, 0.059968, 0.021055, 0.018801, -0.03295, 0.032079, -0.032073, 0.002828, -6.2e-05, -0.013797, 0.056735, -0.098866, -0.07747, -0.02468, -0.006015, -0.017341, -0.045379, -0.087895, 0.010185, 0.012933, -0.026293, -0.107196, -0.005251, 0.090934, -0.009861, -0.001225, -0.058138, -0.102678, -0.018638, -0.039532, 0.00866, 0.069443, 0.000832, -0.069702, 0.061821, -0.046568, 0.008132, 0.044403, 0.045084, -0.001183, 0.028219, 0.04048, -0.024395, 0.063584, -0.010956, -0.059086, 0.062314, 0.030957, -0.01316, 0.002154, -0.050211, 0.003763, -0.017579, 0.046342, -0.054251, -0.030817, -0.011359, 0.035577, 0.007409, 0.027087, -0.0, 0.038513, 0.024147, -0.021706, 0.018278, -0.03554, -0.084068, 0.096959, 0.004761, 0.044852, -0.015903, 0.022014, 0.107664, 0.017528, -0.026077, 0.067362, 0.019373, 0.072588, -0.046754, 0.051634, -0.045009, 0.002816, -0.06276, -0.013236, 0.068527, -0.129242, 0.031451, -0.01048, -0.025802, -0.07249, -0.00722, -0.100037, -0.005887, 0.047256, -0.021109, -0.079489, 0.054966, 0.000234, -0.012772, -0.039824, 0.056163, 0.005542, 0.069543, -0.022919, -0.048356, -0.010459, 0.065063, -0.012007, 0.079553, -0.030604, 0.055914, -0.014365, -0.005876, -0.045089, 0.004353, -0.055726, 0.022117, 0.042125, -0.047094, -0.022967, 0.059381, 0.052688, 0.070566, 0.040667, -0.019341, 0.052504, -0.044582, 0.020528, -0.049456, 0.037093, -0.009087, -0.005951, 0.051257, -0.044309, 0.062299, 0.044287, 0.074119, -0.022479, -0.063714, 0.008179, 0.015093, -0.056673, 0.04738, 0.020745, 0.090178, -0.068882, -0.030768, 0.111254, -0.01577, 0.07085, -0.121569, -0.01956, -0.043861, 0.009467, 0.075426, -0.060046, -0.0, -0.040154, -0.069876, -0.005774, -0.003656, 0.015957, -0.003267, 0.00301, 0.074665, 0.08221, -0.00425, 0.09848, 0.020706, -0.043107, 0.011746, 0.045996, 0.05163, -0.009444, -0.036418, -0.022765, -0.092553, -0.055722, 0.08874, -0.012259, -0.013041, 0.034269, 0.014451, -0.013898, 0.084348, 0.008778, -0.010286, -0.049741, 0.023665, 0.026901, -0.048588, -0.023587, -0.023528, 0.098475, 0.014039, 0.065901, -0.018287, 0.013341, -0.085884, -0.055978, 0.00102, -0.048944, -0.056165, -0.058136, -0.058296, -0.009957, -0.061462, -0.029323, 0.043408, -0.015728, 0.080987, 0.029282, -0.106129, -0.103175, -0.047454, -0.000995, -0.014196, 0.050634, -0.123114, -0.031532, -0.009935]</t>
  </si>
  <si>
    <t>Rising yields in major markets are pushing income investors to think harder about where their cash flow comes from. With bond markets adjusting to tighter policy signals, dependable company dividends can feel more valuable than ever. That is where the Dividend Powerhouses 3%+ Yield screener comes in. This article walks through three high income stocks on that list and what makes their dividend profiles worth a closer look. The three stocks below are just a starting sample, and the full...</t>
  </si>
  <si>
    <t>Commonwealth Bank Stock And 2 More Dividend Shares For Reliable Income - Rising yields in major markets are pushing income investors to think harder about where their cash flow comes from. With bond markets adjusting to tighter policy signals, dependable company dividends can feel more valuable than ever. That is where the Dividend Powerhouses 3%+ Yield screener comes in. This article walks through three high income stocks on that list and what makes their dividend profiles worth a closer look. The three stocks below are just a starting sample, and the full...</t>
  </si>
  <si>
    <t>[-0.004529, -0.088327, -0.03772, 0.019162, 0.018223, 0.01208, 0.014884, -0.024524, 0.014824, -0.000428, -0.018432, 0.018914, -0.0798, 0.055464, 0.040882, -0.006228, -0.002003, 0.042121, 0.003666, 0.009708, -0.047172, -0.076137, 0.036173, 0.005862, 0.096305, -0.001359, -0.023781, 0.00557, -0.001382, -0.0691, 0.002063, 0.07754, 0.080843, -0.033729, 0.007586, -0.017102, 0.042711, 0.0592, 0.06813, 0.016906, 0.025465, 0.007664, 0.04784, 0.030521, 0.007643, -0.063344, 0.039899, -0.027337, 0.040985, 0.014297, -0.050866, 0.00537, 0.041791, -0.052264, -0.029743, -0.038775, -0.063049, 0.045826, 0.093519, -0.036714, -0.003311, 0.030946, 0.058381, -0.0033, 0.085644, 0.009215, -0.025081, 0.091884, -0.051982, -0.025431, -0.028614, -0.035247, -0.081366, -0.111993, -0.104262, 0.025818, 0.045064, 0.025598, -0.02613, -0.022196, -0.018517, 0.006548, 0.021709, 0.012863, -0.004606, -0.068554, 0.046796, -0.028772, -0.001632, -0.019072, -0.014589, 0.00245, 0.061374, 0.005108, 0.028322, 0.040976, -0.074128, -0.104445, -0.074403, 0.000517, 0.092284, 0.119734, -0.005679, 0.10129, 0.046889, -0.020167, -0.064529, 0.010292, 0.08174, 0.037341, 0.051029, 0.113491, -0.058085, -0.041687, -0.053233, -0.024125, -0.029333, 0.018046, 0.100735, 0.080306, 0.091249, -0.010274, -0.028385, -0.046852, 0.084757, 0.008887, -0.041933, 0.0, -0.012168, 0.035764, 0.065847, 0.085491, 0.00582, -0.020191, -0.041646, -0.038427, -0.076389, 0.005141, -0.05672, 0.053396, 0.053577, 0.009853, 0.00458, -0.030604, -0.038561, 0.056082, 0.044244, 0.042178, -0.027739, 0.027874, 0.027928, -0.04493, 0.080676, -0.094956, -0.010328, 0.005525, 0.023172, 0.036468, 0.050089, 0.012159, -0.054213, -0.037938, -0.071686, -0.012377, -0.048514, -0.015765, 0.048301, -0.034355, -0.021512, -0.052949, 0.036801, 0.0266, -0.038888, -0.009613, -0.025262, -0.0225, -0.014878, 0.035473, -0.021639, -0.006, -0.091515, -0.019695, -0.040213, -0.025322, -0.03439, -0.011092, -0.002817, -0.00183, -0.017928, -0.003483, -0.137087, -0.000604, -0.071849, 0.085072, -0.016167, 0.045813, -0.078667, 0.127031, -0.017927, 0.026309, 0.043924, -0.012915, -0.021677, 0.026149, -0.03615, 0.028537, 0.070771, -0.003309, 0.039857, 0.001859, 0.023904, -0.008027, -0.014211, 0.015628, -0.021452, -0.011928, 0.053143, -0.010207, -0.015406, -0.073737, 0.092637, -0.040573, -0.032598, -0.0, -0.026613, -0.012378, 0.006217, -0.047479, -0.074155, -0.068773, 0.063253, -0.059191, -0.021617, 0.042865, -0.003411, 0.028059, 0.011261, 0.063988, -0.066075, -0.020844, 0.04816, -0.042628, 0.1088, -0.073522, 0.069332, -0.014595, -0.018991, 0.098499, -0.037155, 0.079467, -0.14488, -0.034714, 0.051874, 0.005879, -0.056719, -0.014562, -0.024233, -0.028371, -0.037775, 0.027835, -0.071294, -0.03415, 0.016213, 0.093502, -0.007764, 0.001179, -0.00864, -0.05295, 0.031381, 0.046958, 0.07113, 0.056544, 0.079115, 0.007428, -0.01303, 0.04492, -0.037546, 0.136016, -0.043332, 0.030177, -0.044606, 0.016257, -0.007054, 0.012323, -0.028253, 0.084676, -0.00858, -0.009576, 0.019923, 0.027827, -0.0851, 0.051541, 0.000928, -0.040617, 0.054757, -0.067783, 0.135692, -0.037695, 0.014172, 0.12176, -0.005345, -0.074949, 0.002311, 0.068505, 0.042108, 0.011378, 0.001376, 0.084193, -0.092431, 0.051161, 0.045452, -0.039669, 0.04115, -0.085509, -0.047999, -0.032542, 0.060841, 0.10181, 0.020558, -0.0, -0.021126, -0.07759, -0.053878, -0.059245, 0.036207, -0.082662, 0.019591, 0.005212, 0.040888, 0.003107, 0.010643, -0.013468, -0.075324, -0.059212, 0.022025, 0.027008, -0.033228, -0.033216, 0.005207, -0.095689, 0.064721, -0.003049, 0.083104, 0.000514, -0.070823, 0.044436, 0.022357, -0.025397, -0.010078, 0.048202, -0.017247, 0.005113, 0.016081, 0.00803, 0.012433, 0.037507, 0.024692, -0.024871, 0.087465, 0.072746, -0.033831, -0.113158, -0.069675, 0.045738, -0.014795, -0.041902, -0.053653, 0.017604, -0.034, -0.186873, -0.042654, 0.014995, -0.039922, 0.100883, 0.014552, -0.025616, -0.121687, 0.010744, -0.007823, -0.025065, -0.020446, -0.092016, 0.051763, 0.042317]</t>
  </si>
  <si>
    <t>PaidIt combines recipient verification, communications and payment delivery within one system.</t>
  </si>
  <si>
    <t>Commonwealth Bank unveils payout platform ahead of cheque exit - PaidIt combines recipient verification, communications and payment delivery within one system.</t>
  </si>
  <si>
    <t>[0.003039, 0.048538, -0.059951, -0.032072, 0.021904, 0.00507, 0.077272, -0.042013, 0.00436, 0.018521, 0.008259, -0.035445, -0.020477, -0.030273, 0.050149, -0.056632, -0.012615, 0.002583, 0.02737, 0.01361, -0.069013, -0.061577, -0.026105, 0.007186, 0.017522, -0.046949, -0.035053, 0.009776, -0.064786, -0.037038, 0.009514, 0.037567, -0.050402, -0.013724, -0.002315, 0.041878, -0.005673, 0.005766, -0.137871, -0.09111, 0.019019, -0.04543, -0.047175, 0.028821, 0.067832, 0.060526, -0.027839, 0.049259, -0.070811, 0.004708, 0.062417, -0.043993, 0.033604, 0.10229, -0.074849, 0.019303, 0.058452, 0.013633, -0.00793, -0.117637, -0.006319, 0.021799, -0.095868, 0.019443, 0.050439, 0.060723, -0.019642, 0.028235, -0.002422, -0.064052, -0.03663, -0.087194, 0.035479, -0.01948, 0.004408, 0.097474, 0.063014, -0.009476, -0.005301, 0.033495, 0.032608, 0.078002, -0.047615, 0.004736, 0.031484, -0.007102, -0.025048, 0.011717, 0.018453, -0.104228, -0.042005, 0.043246, 0.106976, -0.068994, 0.058966, -0.083061, 0.013162, -0.043273, 0.066555, -0.005726, 0.10384, 0.061884, 0.029854, -0.001092, 0.073161, 0.069053, 0.003892, 0.015145, 0.153194, -0.047851, -0.024987, -0.02687, 0.076382, 0.002874, 0.061226, 0.120404, -0.094396, 0.087347, 0.097589, -0.025455, 0.021076, -0.001035, -0.073686, -0.124663, 0.005216, 0.012246, 0.027541, 0.0, -0.062279, -0.033208, 0.067412, 0.043127, 0.088416, -0.044801, -0.05452, 0.008989, -0.043747, 0.034044, -0.023896, -0.028276, 0.032761, 0.086224, -0.018633, -0.020775, 0.016351, 0.066151, 0.099192, 0.107618, -0.01892, -0.025774, 0.013264, -0.019929, 0.060981, 0.030106, -0.041889, -0.015041, 0.020449, -0.013093, -0.001393, -0.008656, -0.050846, 0.058432, -0.101906, -0.005682, -0.000671, -0.076294, 0.081126, -0.080318, -0.021546, -0.057455, 0.002535, 0.023516, -0.047986, -0.009434, -0.005089, -0.062365, 0.093436, 0.025644, -0.005862, 0.013876, -0.084318, -0.028866, 0.001621, -0.035558, 0.050704, 0.043371, -0.005599, -0.047496, -0.028172, -0.002565, -0.07198, -0.054288, 0.004234, 0.026336, -0.061189, -0.052616, -0.016315, 0.036913, -0.062812, 0.107168, 0.070581, 0.014653, -0.015231, 0.016041, -0.016679, -0.002245, 0.104737, 0.099705, 0.036349, 0.046712, -0.05835, 0.005888, 0.066205, -0.002324, 0.006801, -0.095952, -0.000874, -0.043414, 0.000633, -0.006933, -0.010451, 0.083232, 0.087538, -0.0, -0.037081, -0.029996, -0.036283, 0.076076, -0.069415, -0.002282, 0.005954, -0.036479, 0.092258, 0.071094, -0.041877, 0.002949, 0.082882, -0.015515, 0.035248, -0.045813, -0.010137, -0.05177, 0.059639, 0.041263, 0.087236, 0.002428, 0.015877, -0.016855, 0.064924, 0.010171, 0.009083, -0.106705, -0.017107, -0.005261, 0.036537, -0.022528, -0.015218, -0.046678, -0.029242, -0.04883, -0.057106, 0.065078, 0.021956, 0.073488, -0.029865, -0.049438, -0.061491, 0.021561, 0.006026, -0.059757, -0.048315, 0.082295, 0.081569, 0.017819, 0.017452, 0.012208, -0.009909, 0.08011, -0.015169, 0.107127, 0.060818, 0.043415, -0.026563, -0.015185, 0.012639, -0.045839, 0.021721, -0.040536, 0.071637, 0.034938, -0.01697, 0.043934, 0.020407, -0.019311, -0.016912, -0.032586, 0.042016, -0.038809, 0.055019, 0.078575, -0.024702, -0.096722, -0.037866, 0.043778, -0.043553, -0.027449, 0.078503, 0.080323, 0.016865, -0.070829, -0.010886, -0.084274, -0.015931, -0.047004, -0.00235, -0.03892, 0.093375, 0.041956, -0.054079, -0.0, -0.009334, -0.024866, -0.036326, -0.041113, -0.010535, -0.045983, -0.003618, 0.055123, -0.048328, -0.026099, -0.028609, -0.024708, -0.013939, 0.006138, 0.027946, 0.049712, 0.047511, -0.069521, -0.058612, -0.000283, 0.006237, -0.017897, -0.060841, -0.035299, -0.112494, -0.01085, 0.059426, 0.069992, 0.013956, -0.072045, -0.079755, 0.008839, -0.022407, 0.00433, 0.084573, 0.075236, 0.073775, 0.0134, 0.002321, 0.01507, -0.019966, -0.042246, -0.091533, 0.006507, -0.03262, 0.001351, -0.057575, 0.058363, -0.075239, -0.061165, 0.021292, -0.018057, 0.007693, 0.046459, 0.039756, -0.038405, -0.021203, 0.003197, 0.108863, 0.08815, -0.009258, -0.032166, 0.071891, -0.088588]</t>
  </si>
  <si>
    <t>By Christine Chen and Scott Murdoch SYDNEY, Aug 25 (Reuters) - Investors are questioning the rich valuations on Australia's biggest banks as a downturn in lucrative mortgage lending threatens to</t>
  </si>
  <si>
    <t>Australian bank investors brace for tough times as mortgage demand plummets - By Christine Chen and Scott Murdoch SYDNEY, Aug 25 (Reuters) - Investors are questioning the rich valuations on Australia's biggest banks as a downturn in lucrative mortgage lending threatens to</t>
  </si>
  <si>
    <t>[0.052726, -0.081897, -0.036968, 0.029312, -0.085031, -0.002879, -0.035874, 0.044571, -0.042926, 0.025475, -0.062607, 0.010172, -0.0446, 0.025229, 0.034985, 0.008114, -0.037028, -0.030835, 0.005956, 0.072647, -0.062635, -0.038834, -0.059913, -0.012119, 0.075357, 0.000967, 0.036313, 0.029956, 0.020128, -0.003434, -0.04865, 0.045097, -0.006596, -0.017475, 0.064961, 0.025881, -0.008346, -0.031173, 0.009937, -0.049398, 0.080566, -0.027419, 0.023986, -0.036022, -0.054992, -0.035897, 0.107157, 0.045079, -0.01668, 0.066605, -0.065557, 0.004005, 0.068107, -0.096222, -0.023443, 0.027864, 0.027886, 0.000599, 0.023047, -0.045323, 0.069265, 0.034469, 0.033502, 0.011377, 0.084644, 0.06631, -0.052825, 0.010431, -0.044406, 0.029597, -0.005163, -0.137047, -0.02021, -0.086881, 0.000494, -0.024045, 0.067445, -0.017881, 0.020899, -0.047949, 0.106549, -0.160451, -0.094481, -0.039238, -0.028311, 0.000136, 0.091852, -0.033647, 0.071603, -0.007952, 0.055256, -0.017529, 0.035328, 0.039685, 0.024943, -0.00095, -0.087112, -0.052553, -0.031993, 0.055766, 0.006431, 0.059345, 0.012162, 0.053177, -0.004912, -0.050763, -0.020588, -0.005488, 0.005091, -0.008583, 0.035606, 0.10337, 0.036154, 0.024719, -0.014949, -0.039329, 0.012188, 0.029272, -0.031712, 0.031482, 0.082812, -0.013747, -0.059437, -0.030512, 0.032683, 0.017726, -0.116206, 0.0, 0.001667, 0.004579, 0.05241, -0.029804, 0.00514, -0.03377, -0.06375, -0.013697, -0.056454, 0.034586, 0.080711, -0.015849, 0.023015, 0.029463, -0.054, -0.015775, 0.016155, 0.035894, -0.005101, 0.050972, 0.020428, 0.000618, 0.02292, -0.003762, 0.005427, -0.1015, 0.026604, 0.021079, -0.004396, 0.003759, -0.003281, -0.069023, -0.041193, -0.068773, -0.053672, 0.014725, 0.002872, -0.01777, 0.014501, 0.01313, -0.04992, -0.019838, 0.010573, 0.01796, 0.006464, 0.039071, -0.043627, -0.036886, -0.110046, 0.043255, -0.004958, -0.052008, -0.079468, 0.031018, 0.000946, -0.051036, -0.061875, -0.022414, -0.038451, -0.032476, -0.020249, -0.128783, -0.08277, -0.05075, -0.065273, 0.087785, 0.071226, 0.054626, -0.079816, 0.082576, -0.062877, -0.010253, -0.037195, -0.015688, -0.043611, -0.03145, 0.037785, 0.063208, 0.114132, 0.071076, 0.046347, 0.029185, 0.042234, 0.011587, -0.00499, 0.026044, -0.007527, -0.06636, 0.045405, -0.086167, -0.052291, 0.003534, 0.084929, -0.034291, -0.000695, -0.0, -0.077807, -0.053454, -0.087463, 0.043321, -0.041116, -0.070184, 0.01002, 0.01207, -0.001147, -0.016249, -0.048154, 0.07377, -0.018459, -0.040328, -0.009076, -0.040173, 0.099318, -0.051435, 0.111816, -0.089454, 0.09598, 0.033669, 0.053979, 0.073661, -0.027997, 0.031222, -0.06786, -0.01342, -0.028117, -0.024761, -0.073689, 0.033489, 0.01605, -0.007621, -0.082578, 0.109116, -0.001509, -0.036343, -0.0952, 0.085828, -0.015047, 0.080157, 0.022644, -0.06472, -0.047674, 0.017559, 0.051152, 0.033024, 0.033622, 0.064544, 0.059273, 0.019945, 0.051146, 0.103408, -0.053709, 0.041521, 0.080456, -0.016951, 0.019337, 0.117393, -0.0412, 0.086853, -0.00924, 0.051041, -0.005184, -0.062931, -0.040736, -0.134455, -0.004791, -0.094851, -0.003833, -0.081688, -0.011515, 0.03715, 0.01445, 0.100673, -0.081712, -0.025184, 0.039456, 0.049856, 0.010927, 0.027904, 0.020331, 0.119786, -0.019862, -0.003376, 0.006982, 0.016289, 0.075605, 0.003599, -0.051249, -0.054835, 0.063869, 0.013109, -0.044347, -0.0, -0.036695, -0.063979, -0.046442, -0.047263, 0.004152, -0.006187, 0.023283, 0.073998, 0.081823, 0.016833, 0.049661, 0.003787, -0.06803, 0.03604, -0.026832, 0.02872, -0.046539, 0.006037, -0.05861, -0.010851, 0.028248, 0.049821, 0.018725, 0.033924, 0.009563, 0.031509, -0.037223, 0.036996, -0.054052, 0.036899, -0.087495, 0.060992, 0.067125, -0.004534, -0.024638, 0.084441, 0.05722, 0.053871, 0.004661, 0.00211, -0.014389, -0.095461, -0.033775, -0.005752, -0.038627, -0.006197, -0.018022, 0.086152, 0.059999, -0.108308, -0.013591, 0.035795, 0.022177, 0.01406, -0.060295, -0.043534, -0.065234, -0.014292, 0.017145, -0.047879, 0.068675, -0.063154, 0.020946, -0.028792]</t>
  </si>
  <si>
    <t>01468167-f750-4b79-b8c8-2edf85711375</t>
  </si>
  <si>
    <t>LGT reports 17% rise in H1 profit as assets reach record level</t>
  </si>
  <si>
    <t>Net new assets came in at SFr12.3bn, equal to an annualised growth rate of 6.4%.</t>
  </si>
  <si>
    <t>LGT reports 17% rise in H1 profit as assets reach record level - Net new assets came in at SFr12.3bn, equal to an annualised growth rate of 6.4%.</t>
  </si>
  <si>
    <t>[0.01093, -0.051179, -0.015799, -0.031489, 0.091158, 0.017852, 0.009322, 0.087909, -0.035465, 0.000765, -0.011281, 0.036838, -0.097592, -0.021925, -0.013414, -0.024584, -0.026689, -0.076768, -0.001885, -0.00785, 0.003269, -0.028321, 0.056583, 0.016524, 0.137591, -0.118243, -0.030675, 0.096621, 0.081288, -0.018459, 0.032146, 0.047112, 0.031309, 0.039278, -0.009714, -0.006366, -0.009213, -0.084851, -0.084731, 0.059338, 0.040624, -0.012017, -0.062889, -0.045136, -0.03014, -0.044725, 0.001439, 0.033209, -0.055971, 0.061083, 0.055382, 0.016334, 0.011309, 0.018979, -0.020544, 0.015492, -0.074366, 0.043752, 0.058077, -0.012358, -0.033705, 0.000774, 0.069809, -0.107261, 0.047985, 0.003339, 0.003276, 0.024088, -0.055094, 0.003533, -0.012534, -0.041172, -0.09022, -0.067209, -0.027278, -0.052006, 0.034279, 0.049512, 0.045073, -0.078147, 0.058631, 0.022322, -0.083687, 0.010323, -0.109963, -0.038028, 0.04522, 0.050615, -0.007178, 0.000866, -0.006854, -0.012274, -0.027339, 0.039708, -0.048585, 0.043608, -0.043449, -0.050751, 0.082773, -0.003274, -0.005408, 0.080598, 0.016566, -0.009316, -0.096607, 0.014492, 0.008341, 0.131069, 0.030807, -0.050566, 0.030159, 0.075742, -0.015988, -0.031034, -0.013627, 0.025563, -0.03829, -0.005909, 0.009786, -0.028768, 0.079193, 0.040047, 0.007323, -0.019793, -0.059899, -0.051207, -0.109925, 0.0, 0.003724, 0.029345, -0.01312, -0.018005, -0.0756, -0.025689, -0.038353, 0.07066, -0.002222, 0.010494, -0.041844, 0.03315, -0.052329, -0.073562, -0.001433, -0.072163, -0.018428, 0.016941, 0.045121, -0.033964, -0.059871, -0.014665, 0.026709, 0.009239, -0.001359, 0.022162, -0.032437, -0.03245, -0.008095, 0.00016, 0.019892, -0.033805, -0.013425, -0.013521, -0.049607, 0.007249, 0.014921, 0.016458, 0.086713, -0.034794, -0.02023, 0.084143, -0.005107, -0.044115, -0.036349, 0.050268, 0.013013, -0.01975, -0.028363, 0.069458, -0.041569, -0.017129, -0.035879, -0.075792, 0.036018, 0.033856, -0.094365, 0.024751, 0.02985, 0.057086, 0.059087, 0.06749, 0.013934, 0.084147, -0.017702, 0.03726, 0.107856, -0.012158, -0.014063, 0.037324, -0.012507, -0.030384, 0.059378, -0.032116, 0.081598, 0.004796, -0.018836, -0.026458, 0.062907, 0.072657, -0.03995, -0.000324, 0.031926, -0.078817, -0.021319, -0.016467, 0.038823, -0.10014, -0.02092, 0.058489, 0.042283, -0.101942, 0.0769, -0.009943, -0.029898, -0.0, 0.017567, 0.06061, -0.004508, -0.057021, -0.053101, 0.030816, 0.056935, -0.017859, -0.060728, 0.087112, 0.11626, 0.0196, -0.111461, -0.024275, 0.017972, -0.085971, 0.105871, -0.001252, -0.042078, -0.004655, 0.056042, 0.018023, -0.02223, 0.131168, -0.010101, 0.028138, 0.010039, 0.068797, 0.017927, -0.027062, -0.022633, -0.006456, 0.047252, -0.011788, -0.005019, -0.059683, 0.060709, -0.036097, 0.03689, -0.039172, 0.058687, -0.042756, -0.002521, -0.022641, -0.029625, -0.027377, 0.03027, -0.005868, 0.117769, 0.046866, 0.010698, 0.009792, -0.010845, -0.042076, -0.045597, 0.071393, 0.042074, 0.029571, -0.129888, 0.050403, 0.067092, 0.088031, -0.041005, 0.118602, -0.050873, -0.050842, 0.010631, -0.104301, 0.073517, -0.030514, 0.054029, 0.067056, 0.086739, -0.065546, -0.065102, -0.000695, 0.014776, -0.068152, 0.01676, -0.118349, -0.050525, 0.042951, -0.006802, -0.025591, -0.014859, -0.060761, -0.017636, 0.012875, 0.01928, 0.037892, -0.085679, -0.057141, -0.065994, 0.026346, -0.015437, -0.0, -0.049617, -0.02173, 0.009784, 0.032875, 0.019915, 0.068927, -0.015782, 0.077161, 0.012358, 0.081126, -0.020583, -0.001273, -0.031901, -0.062752, -0.033466, -0.052171, -0.007068, 0.060932, -0.034611, -0.047984, 0.085716, 0.070241, 0.082783, -0.007065, -0.031836, -0.089914, -0.03183, 0.054586, 0.047737, -0.06867, 0.082745, 0.048529, 0.048135, 0.030404, 0.0804, -0.011493, 0.02478, 0.088748, -0.006354, 0.005977, 0.018809, 0.020478, -0.011532, -0.010049, -0.072172, -0.023348, -0.110613, -0.026401, 0.020543, -0.152194, 0.112778, 0.019734, -0.028122, -0.011621, 0.036551, 0.036448, -0.018719, 0.012663, -0.048859, -0.036995, 0.011178, -0.096649, -0.009861, 0.056938]</t>
  </si>
  <si>
    <t>Speculative investors are increasingly betting the Reserve Bank of Australia will raise interest rates again in November as inflation remains above the central bank’s target.</t>
  </si>
  <si>
    <t>Fast Money Bets on November RBA Hike in Fight Against Inflation - Speculative investors are increasingly betting the Reserve Bank of Australia will raise interest rates again in November as inflation remains above the central bank’s target.</t>
  </si>
  <si>
    <t>[-0.071025, -0.079204, -0.120371, 0.079145, -0.018242, 0.006971, -0.036173, 0.008664, 0.002778, 0.006519, -0.047016, 0.053294, -0.037991, 0.00609, 0.050269, 0.016932, 0.016307, -0.014505, -0.007567, 0.019713, -0.046585, -0.07531, -0.058002, 0.02604, 0.097024, -0.0357, 0.06472, -0.001252, -0.055762, -0.028225, 0.019501, 0.023328, 0.043446, -0.063793, 0.033321, -0.018996, -0.028198, -0.010309, -0.005334, 0.054666, 0.061665, -0.014863, -0.00453, 0.001674, -0.000343, -0.007796, 0.044016, 0.084705, -0.020393, 0.043307, 0.013772, -0.024261, -0.030923, -0.052592, -0.018958, 0.011816, -0.001785, 0.004654, 0.117353, -0.042586, 0.044202, -0.011933, 0.004191, -0.025825, 0.001773, -0.059696, -0.048843, 0.042665, 0.030482, 0.007738, 0.041983, 0.000579, -0.02913, -0.14002, 0.00409, -0.0251, 0.018707, -0.006651, 0.035711, -0.042389, 0.022167, -0.075997, 0.030536, -0.104988, -0.008978, 0.050232, 0.123078, -0.046696, 0.014683, -0.039494, 0.086211, 0.001221, 0.030895, -0.026795, 0.002128, -0.02556, -0.007441, -0.11916, -0.000948, 0.040309, 0.074722, 0.004096, -0.039311, 0.073913, 0.050252, -0.018647, -0.043078, 0.027828, 0.013302, 3.9e-05, -0.013339, 0.111014, 0.092219, 0.022506, -0.111602, 0.029962, -0.058504, -0.021054, 0.012036, 0.08821, 0.047855, 0.056156, 0.008042, -0.036787, 0.048462, 0.024335, -0.065045, 0.0, 0.037707, 0.037601, -0.005677, -0.097219, -0.028464, 0.033879, -0.060809, -0.005597, -0.022704, 0.000252, 0.001801, 0.058133, 0.02348, 0.030998, -0.05364, -0.065233, 0.005043, 0.036185, 0.080557, 0.041871, 0.020515, -0.063018, 0.013376, -0.069951, -0.012594, -0.01723, 0.072114, -0.057171, 0.059542, 0.014296, -0.01786, 0.063097, -0.053664, -0.075956, -0.06189, 0.000187, 0.012077, -0.055354, -0.06903, -0.011956, 0.014101, 0.04423, -0.001922, 0.024728, -0.028606, 0.050912, -0.009126, -0.029239, -0.042063, 0.046193, -0.023575, -0.043514, -0.043908, 0.033149, 0.035597, -0.086668, -0.035035, -0.030596, 0.043314, -0.045831, 0.046746, -0.026681, -0.095748, -0.022451, -0.138791, 0.032718, -0.002582, -0.00517, -0.08844, 0.041995, 0.003054, 0.037312, 0.036501, -0.011614, -0.065845, -0.076264, 0.067584, 0.028736, 0.052106, -0.040087, 0.027272, 0.002572, 0.060307, -0.034053, 0.03262, -0.007009, -0.040427, -0.101456, 0.011014, -0.135657, -0.081435, -0.053062, 0.04781, -0.020622, 0.044462, -0.0, 0.025039, -0.058286, 0.050295, 0.132023, 0.042469, -0.074595, 0.022079, -0.015519, 0.090561, -0.011386, -0.092763, 0.070289, 0.035365, 0.087517, 0.112134, -0.092508, 0.039307, -0.01543, 0.046863, -0.04414, -0.031991, -0.026659, -0.02685, 0.085065, -0.000736, -0.066666, -0.007203, 0.00026, -0.064847, -0.008996, -0.046858, 0.032634, -0.022873, -0.041706, -0.093934, 0.054455, 0.028615, 0.024492, -0.02473, 0.027315, 0.055783, 0.000625, -0.014568, -0.039795, 0.002662, 0.006249, 0.055171, 0.118873, 0.041417, 0.095981, 0.009227, -0.077542, -0.006207, 0.072391, -0.006337, -0.018861, 0.004101, -0.001116, -0.008185, 0.068968, 0.025274, 0.056422, 0.04618, 0.032426, 0.024686, 0.000251, 0.000932, -0.048501, 0.102436, 0.038788, 0.050999, 0.037518, -0.042972, 0.092703, 0.033878, 0.034878, -0.018513, 0.006352, 0.062129, 0.030197, -0.01416, 0.003975, 0.011128, -0.005639, 0.006286, 0.051692, 0.021931, -0.042548, -0.000468, -0.036036, -0.055424, -0.073936, 0.146121, 0.037606, -0.07086, -0.0, -0.025233, -0.04898, -0.006152, 0.030836, 0.047348, 0.028804, 0.013325, -0.00299, 0.032388, -0.011438, 0.058125, 0.025495, -0.019323, -0.073913, 0.015084, 0.081033, -0.009137, -0.001107, -0.031372, 0.005443, 0.083685, 0.135217, 0.046903, -0.038795, -0.001636, -0.039462, 0.010736, 0.124971, -0.015822, 0.003362, -0.036969, 0.03039, 0.053682, -0.013788, 0.000354, -0.00352, 0.084115, 0.143978, 0.025746, -0.005276, 0.036275, -0.081654, -0.038761, -0.103284, -0.072362, -0.045735, -0.036644, -0.064014, 0.024976, -0.068386, -0.02152, 0.003597, -0.00215, 0.08617, 0.057648, -0.023861, -0.068769, -0.033452, 0.017424, 0.009379, -0.038838, -0.171085, -0.021411, 0.007146]</t>
  </si>
  <si>
    <t>(Bloomberg) -- Tencent Holdings Ltd.’s spending plans will draw investor scrutiny as investors cool on lavish outlays on artificial intelligence.Most Read from BloombergTrump Amps Up Pressure on Billionaire Sargeant to Exit VenezuelaIran Shakes Up Security Team After Saying Oman Deal ‘Very Close’Iran Says Hormuz Deal Close But Its Conditions Must Be MetOpenAI’s New Device Will Be Hockey Puck-Sized and Cost Over $300China Unleashes $28 Trillion Capital Markets to Challenge US in AILast month, the</t>
  </si>
  <si>
    <t>Tencent AI Spending Key After Magnificent 7 Rout - (Bloomberg) -- Tencent Holdings Ltd.’s spending plans will draw investor scrutiny as investors cool on lavish outlays on artificial intelligence.Most Read from BloombergTrump Amps Up Pressure on Billionaire Sargeant to Exit VenezuelaIran Shakes Up Security Team After Saying Oman Deal ‘Very Close’Iran Says Hormuz Deal Close But Its Conditions Must Be MetOpenAI’s New Device Will Be Hockey Puck-Sized and Cost Over $300China Unleashes $28 Trillion Capital Markets to Challenge US in AILast month, the</t>
  </si>
  <si>
    <t>[-0.047041, -0.025013, -0.031766, -0.011472, 0.082453, -0.041187, 0.010802, 0.090352, -0.036298, 0.064629, -0.053448, 0.036149, -0.034419, 0.020295, -2e-05, -0.012819, 0.027664, -0.017416, -0.007382, 0.002906, -0.019009, -0.060934, 0.041155, -0.071266, 0.062574, 0.030849, 0.019462, 0.022203, -0.0191, -0.027013, 0.00195, 0.04013, -0.021581, 0.049407, 0.002267, 0.040657, -0.033234, -0.013913, 0.00412, -0.046572, 0.080608, -0.017681, 0.008431, -0.048779, 0.027999, -0.022547, -0.034342, 0.03709, 0.039834, -0.000676, -0.112937, -0.06371, 0.019777, -0.015713, 0.028642, 0.017307, -0.049455, -0.150837, 0.041783, 0.013697, 0.03905, 0.001744, -0.025887, 0.011331, 0.020483, 0.021058, -0.033359, -0.068522, -0.037326, 0.013703, 0.165698, -0.033688, -0.035456, -0.090053, -0.064896, 0.036721, -0.016662, -0.029675, 0.013648, -0.003514, 0.057483, 0.003534, 0.019773, -0.058742, -0.034433, -0.004305, 0.073698, -0.01101, 0.059083, -0.013847, 0.024049, 0.034178, 0.031229, -0.023383, -0.055031, -0.00144, -0.017072, 0.050971, -0.126828, 0.070024, 0.115844, 0.043632, 0.015436, -0.048686, -0.032986, 0.016106, 0.131956, -0.006644, -0.067561, 0.011484, -0.031897, 0.001836, -0.026003, -0.05122, -0.00291, 0.048434, -0.062076, 0.022232, 0.052927, -0.031896, 0.015505, -0.034087, -0.046933, 0.01769, -0.021812, 0.040421, -0.098971, 0.0, -0.071656, 0.031573, -0.054754, 0.011362, -0.085311, 0.027802, -0.043921, 0.045037, -0.050068, -0.064604, -0.049821, 0.029766, -0.081192, 0.068745, 0.031498, -0.112412, 0.021284, 0.046981, 0.012012, -0.045621, 0.040755, -0.019006, -0.008866, 0.011922, 0.014961, 0.049002, 0.006985, -0.034662, 0.063671, 0.029541, -0.008936, 0.105383, 0.05139, 0.019077, -0.018047, 0.085687, -0.01891, -0.009835, 0.00035, -0.003049, -0.024502, -0.012824, -0.098145, -0.048626, -0.011021, 0.011126, 0.021087, 0.049641, 0.02862, -0.121695, -0.000745, 0.057417, -0.127753, -0.00297, -0.014524, -0.086692, 0.041114, -0.039945, 0.053892, 0.018767, -0.024972, -0.101582, -0.082805, 0.098403, -0.091585, 0.135782, 0.043508, 0.042735, 0.022476, 0.061104, -0.007158, -0.047406, 0.036992, 0.076246, 0.040005, 0.052223, 0.046925, -0.044795, 0.050354, 0.030174, 0.0127, 0.023759, 0.060149, 0.072422, -0.028325, -0.005032, -0.00819, 0.018879, -0.078893, -0.010971, -0.043551, -0.055282, 0.016495, 0.066326, -0.071995, -0.0, -0.09609, -0.019875, -0.081848, 0.022591, -0.073675, 0.01284, 0.033255, 0.021562, -0.007411, 0.016647, -0.026735, -0.016196, 0.079665, -0.038831, -0.01251, -0.02128, 0.035677, -0.005908, 0.022243, 0.00116, 0.068171, 0.014961, -0.016473, 0.014031, 0.035351, 0.112288, -0.030816, -0.037248, -0.048425, 0.042537, -0.084631, -0.087822, -0.08361, 0.117661, -0.02596, 0.081764, 0.022774, -0.054456, -0.087252, 0.025716, 0.069582, -0.047611, -0.071335, -0.014553, 0.023615, -0.001162, 0.006981, 0.004903, -0.003734, -0.075897, 0.043608, 0.018495, -0.022053, -0.024922, -0.10761, 0.120208, 0.025061, 0.030933, 0.038535, -0.043642, 0.031429, 0.044353, 0.029139, 0.005057, -0.046295, 0.035971, 0.084028, 0.044745, -0.035615, -0.067631, -0.00048, 0.017314, 0.016537, -0.017009, -0.000879, 0.135554, -0.034169, -0.007874, 0.04127, 0.050617, -0.005003, -0.036982, -0.030648, -0.030801, 0.096877, 0.079118, 0.056267, -0.03467, 0.006679, 0.094568, -0.043548, 0.038988, -0.017251, -0.004116, -0.017992, -0.0, 0.013731, -0.048805, 0.047359, 0.007921, 0.034646, -0.117247, -0.010955, 0.056703, 0.020841, 0.099649, 0.075717, -0.083226, -0.108581, 0.028732, -0.080251, 0.041527, -0.016558, -0.007611, -0.011767, -0.057498, 0.000931, 0.007479, 0.014302, 0.002641, -0.031083, -0.053053, -0.058258, 0.103164, 3e-05, 0.030175, -0.012566, -0.027046, -0.033694, -0.051336, 0.023199, 0.048262, 0.047622, -0.060446, 0.051627, 0.013065, -0.009269, 0.031298, -0.020771, 0.036007, -0.042973, -0.064467, -0.126027, -0.04599, 0.074829, -0.041415, 0.021034, -0.005441, -0.064996, 0.051005, 0.026268, -0.046898, -0.025834, 0.016534, -0.119743, 0.048984, -0.013228, -0.069499, -0.049486, 0.000523]</t>
  </si>
  <si>
    <t>null</t>
  </si>
  <si>
    <t>[-0.066066, -0.040669, 0.033367, -0.027736, -0.004207, 0.020114, 0.002387, -0.083277, 0.006585, -0.025462, -0.044826, 0.043583, 0.022506, -0.045547, 0.025742, 0.117278, 0.073851, -0.101465, -0.039899, -0.027446, -0.074079, 0.041765, -0.096359, -0.01309, -0.024183, 0.011112, 0.01118, -0.015427, -0.040093, -0.048723, -0.004587, 0.070015, 0.036976, 0.013835, 0.04152, 0.059389, -0.026536, -0.000212, 0.118591, -0.06535, 0.073331, -0.036728, -0.092283, -0.019338, 0.108622, 0.049478, -0.006528, -0.025214, 0.067097, 0.050364, -0.023227, -0.052172, 0.051756, 0.022217, -0.02989, 0.026202, 0.023765, 0.072205, 0.040452, 0.055339, 0.064669, 0.00192, 0.072702, 0.095117, 0.027482, 0.004546, -0.117049, -0.074753, -0.080475, -0.059207, -0.014196, -0.010976, -0.058204, 0.011944, 0.045061, 0.038984, -0.000918, 0.028639, 0.084952, -0.077408, -0.047005, -0.061159, 0.02276, 0.067508, -0.047522, -0.017729, -0.017011, -0.113947, 0.017379, 0.014476, 0.016033, -0.007341, 0.066801, -0.023689, 0.008558, -0.013988, 0.011508, -0.012149, 0.028926, 0.010095, -0.003438, 0.038009, 0.017093, -0.031283, -0.07149, 0.008824, 0.055384, -0.010593, 0.03973, 0.007107, 0.029706, 0.026845, 0.006439, -0.037806, -0.004852, 0.032779, -0.06123, 0.08623, -0.018603, 0.023006, -0.042632, 0.044252, -0.001643, 0.013196, 0.012124, -0.00144, -0.033392, -0.0, -0.041466, 0.023953, 0.028621, -0.033286, 0.087611, -0.085744, 0.008305, 0.032452, 0.05859, -0.064366, -0.123023, 0.071887, -0.006607, -0.078389, -0.023062, 0.011532, -0.012302, -0.021136, 0.033987, -0.012284, 0.027598, -0.027267, -0.015127, 0.044359, -0.001887, 0.061503, 0.094456, -0.026181, 0.122453, 0.000609, -0.030529, 0.111191, -0.085617, 0.069873, -0.074322, 0.031278, -0.072496, 0.009985, -0.065096, 0.044222, -0.055016, 0.037013, 0.023997, -0.043012, -0.010006, -0.018302, 0.028922, -0.052355, 0.02974, 0.076801, -0.046609, 0.001668, 0.012704, -0.021945, -0.045451, -0.032734, 0.001001, 0.021932, 0.056765, -0.007612, 0.065286, -0.010158, -0.045218, 0.096049, -0.042008, -0.012192, 0.019024, -0.032051, 0.037394, 0.023798, 0.084619, 0.021673, 0.040625, 0.068632, -0.089903, -0.06024, -0.073879, -0.065507, -0.009068, 0.009984, 0.028519, 0.035448, 0.031931, -0.086708, 0.078326, -0.050608, 0.023932, -0.082884, 0.015243, 0.062067, -0.086312, 0.033935, -0.051452, 0.090319, 0.020012, -0.0, -0.02212, -0.044883, -0.005665, 0.032452, -0.019996, 0.008739, 0.022174, 0.012229, 0.022724, 0.065003, -0.024338, 0.009026, -0.013787, 0.029275, -0.05358, 0.005191, -0.025387, -0.061926, -0.067995, 0.007339, 0.032327, 0.055785, -0.061211, 0.04948, 0.058727, 0.025404, -0.052396, 0.036861, 0.002494, -0.029152, -0.077277, 0.004145, -0.050551, 0.098032, 0.006403, 0.054894, -0.00602, 0.002071, -0.017283, 0.03762, 0.061365, -0.114652, -0.086, -0.028151, 0.041958, -0.031684, 0.015027, -0.028604, -0.030104, -0.018808, 0.042367, 0.022735, -0.041835, 0.05521, -0.073582, 0.046094, 0.06071, -0.033747, -0.058189, -0.007175, 0.039356, 0.027327, 0.103036, -0.033128, 0.012489, -0.013939, 0.07629, 0.02002, -0.006647, -0.078845, 0.077577, -0.04331, -0.055485, 0.039143, -0.071654, -0.038636, -0.024998, -0.064085, -0.079001, -0.058696, 0.021726, -0.041032, 0.086939, 0.084491, -0.022873, 0.099571, 0.089962, -0.020933, -0.047559, 0.048133, -0.082459, -0.022197, -0.044019, 0.029552, -0.081637, -0.0, -0.039369, -0.050009, 0.0477, -0.015654, 0.057455, -0.054264, -0.094043, 0.104013, -0.019951, -0.04417, -0.014052, -0.037641, -0.034984, 0.054737, 0.077773, 0.074862, 0.04811, -0.033479, -0.00089, -0.032622, 0.01675, 0.071204, 0.020823, -0.02332, 0.022617, -0.022644, -0.086887, 0.047198, 0.001568, 0.026797, -0.080727, 0.04754, 0.027504, -0.097093, 0.00771, -0.05618, 0.054454, -0.041279, -0.072415, -0.038687, -0.00879, 0.058274, -0.047327, -0.054517, 0.079862, -0.058628, -0.066569, -0.038608, 0.075324, -0.026673, 0.008381, -0.039277, 0.049705, 0.128865, 0.064035, -0.085628, -0.011687, -0.062473, -0.002078, 0.064752, 0.004433, -0.009236, 0.096004, -0.077129]</t>
  </si>
  <si>
    <t>Australian brokerage plans more U.S. listings after record SpaceX demand from nearly three million clients.</t>
  </si>
  <si>
    <t>CommSec Eyes More U.S. IPOs After 28,000 SpaceX Applications - Australian brokerage plans more U.S. listings after record SpaceX demand from nearly three million clients.</t>
  </si>
  <si>
    <t>[0.097287, -0.10452, 0.015788, -0.046837, -0.036208, -0.037981, 0.039619, 0.041758, -0.021247, 0.06072, -0.042084, 0.053212, -0.025152, 0.012237, 0.038218, -0.011933, 0.081575, -0.072624, 0.036796, -0.029995, 0.029006, -0.049175, -0.033857, -0.005055, -0.033903, -0.013854, 0.03318, -0.014933, -0.028976, -0.03212, -0.044768, 0.061556, 0.019108, 0.035832, 0.010284, -0.016656, -0.015776, -0.057406, -0.046427, -0.069103, 0.093177, 0.005531, -0.000511, 0.056867, 0.001272, 0.03423, 0.013446, 0.043068, 0.044275, 0.02015, -0.02763, -0.018764, 0.013752, -0.021331, -0.007006, 0.001679, -0.045963, -0.013058, -0.004867, -0.02255, -0.059143, -0.063139, -0.027962, 0.126541, 0.027353, 0.048541, -0.000615, 0.0049, -0.020076, -0.050402, -8.5e-05, -0.036502, -0.103089, -0.03079, -0.103923, 0.101454, 0.074521, 0.023463, 0.095697, -0.112091, 0.055775, 0.00367, -0.041469, -0.040982, -0.026303, -0.01423, -0.022688, -0.02309, 0.012491, -0.01043, 0.056926, -0.00823, 0.015566, 0.06823, -0.040146, -0.031658, 0.017825, 0.009433, -0.048799, 0.010458, 0.031654, -0.010222, 0.004293, 0.03658, -0.117558, 0.006198, 0.033352, 0.017521, 0.01288, 0.005271, -0.050539, 0.028431, -0.050192, -0.065607, -0.031956, 0.022278, 0.023244, -0.016592, 0.100408, -0.044884, 0.001471, -0.086981, -0.002167, -0.049381, 0.027316, -0.057861, -0.043845, 0.0, -0.084295, 0.019176, 0.021098, -0.033649, 0.030958, -0.006207, 0.093252, 0.014581, -0.145829, 0.002892, -0.104615, 0.047008, 0.022764, 0.080506, 0.061375, -0.056802, 0.069502, 0.100286, 0.074074, 0.001572, 0.006865, -0.029803, 0.031285, 0.013511, 0.093535, 0.044844, -0.047528, -0.027695, 0.059435, 0.035059, 0.026176, 0.084063, -0.012045, 0.053987, -0.043608, 0.072167, -0.035589, -0.019977, 0.001176, -0.021499, -0.071528, 0.007152, -0.032621, -0.024099, -0.023438, 0.009178, -0.119686, -0.03183, 0.018029, 0.076055, 0.020204, 0.073009, -0.059776, 0.027655, 0.076141, -0.010348, -0.020062, -0.03312, 0.045198, 0.078094, -0.055041, 0.037876, -0.060466, 0.010613, 0.010365, 0.085755, 0.080523, -0.020276, -0.115418, 0.106178, -0.0209, 0.012184, 0.105229, 0.030641, -0.013184, -0.05914, 0.002391, -0.012145, 0.012914, 0.02943, 0.032936, 0.022071, 0.026163, 0.066411, 0.042166, 0.016317, 0.021269, 0.045847, 0.002437, 0.063713, 0.041534, -0.061662, -0.020279, 0.075179, -0.100996, -0.0, -0.092529, -0.038545, -0.064824, 0.041335, -0.052062, -0.03767, 0.061818, 0.070922, 0.004892, -0.001795, 0.031108, 0.039844, 0.094201, 0.012865, -0.080126, -0.011766, 0.034132, -0.040032, -0.015404, -0.065167, 0.054908, 0.019305, 0.026073, 0.008128, 0.0065, -0.003452, -0.011562, 0.035559, -0.022908, -0.035485, -0.015914, 0.003792, -0.078079, 0.033428, -0.01453, 0.085521, -0.04604, 0.154082, 0.017938, 0.028608, -0.020839, -0.051823, 0.025023, 0.015497, -0.027345, 0.022504, -0.06961, 0.03205, -0.012663, 0.013454, -0.087313, 0.052831, 0.029456, 0.043264, -0.025741, 0.015408, 0.001777, 0.039549, 0.003975, -0.0074, 0.086942, -0.03085, 0.008786, 0.022086, 0.08046, -0.040885, -0.020449, 0.014509, -0.055598, 0.039311, 0.078497, -0.056369, -0.14235, -0.012075, 0.010236, 0.052444, -0.003295, -0.034004, -0.019097, 0.095299, 0.050988, 0.059597, 0.08437, 0.078196, 0.048755, 0.078957, 0.037371, -0.017555, 0.060311, -0.015491, -0.080861, -0.066533, -0.007415, -0.047343, -0.015859, -0.0, -0.098586, -0.063747, 0.015208, -0.054516, 0.036784, 0.02766, -0.020842, 0.122864, -0.000176, -0.046605, 0.075005, -0.068437, -0.069324, 0.022141, 0.031633, -0.014188, -0.029626, 0.055474, -0.008389, -0.041071, -0.03086, 0.04371, 0.029626, -0.062756, 0.056577, 0.021297, 0.056813, 0.043932, -0.076641, 0.050679, -0.033462, -0.060406, -0.018729, 0.018525, -0.045547, 0.007002, -0.102311, 0.089259, -0.001627, -0.045721, -0.120371, -0.063431, 0.087668, 0.036462, -0.018598, 0.001165, -0.091411, -0.0582, 0.053657, -0.090681, -0.031362, 0.014986, -0.040132, -0.002478, 0.039114, -0.059577, -0.024742, 0.016983, 0.018979, 0.041467, -0.017554, -0.074648, -0.108337, 0.056247]</t>
  </si>
  <si>
    <t>archTIS Ltd (ASX:AR9, OTCQB:ARHLF) has extended the maturity date of a A$4 million Commonwealth Bank of Australia (ASX:CBA) lending facility, maintaining access to non-dilutive working capital as it responds to growing demand for its data security products. The facility, previously due to...</t>
  </si>
  <si>
    <t>archTIS extends A$4 million CBA facility to support contract execution and growth - archTIS Ltd (ASX:AR9, OTCQB:ARHLF) has extended the maturity date of a A$4 million Commonwealth Bank of Australia (ASX:CBA) lending facility, maintaining access to non-dilutive working capital as it responds to growing demand for its data security products. The facility, previously due to...</t>
  </si>
  <si>
    <t>[0.020757, -0.029024, -0.117764, 0.002039, -0.102078, 0.004628, -0.016201, 0.02395, 0.017157, -0.02405, -0.081934, -0.001709, 0.001091, 0.004573, -0.034837, 0.057412, 0.029836, -0.086245, -0.002992, 0.005078, -0.017883, -0.006804, -0.071598, -0.020766, -0.007013, -0.00534, 0.028081, -0.05569, 0.024842, -0.093112, -0.013643, 0.104159, 0.067193, -0.052622, 0.084932, 0.07573, 0.035457, -0.028039, -0.001336, -0.02542, 0.043288, 0.043314, -0.014177, 0.007223, -0.009465, -0.025633, 0.067632, -0.011457, 0.033564, 0.116349, 0.003224, -0.016307, 0.029955, 0.037221, -0.054267, 0.054403, -0.061893, -0.080456, 0.047592, -0.070166, 0.061013, 0.071752, 0.00216, 0.053675, 0.046264, 0.046024, -0.098566, -0.018477, -0.003915, -0.078898, -0.051141, -0.10017, -0.062493, 0.015352, 0.014941, 0.113567, 0.030718, -0.009698, 0.082518, -0.051836, 0.068461, -0.013933, 0.020541, 0.009648, 0.005087, 0.019289, 0.090103, -0.009963, 0.042128, -0.045997, 0.094266, 0.002271, 0.106392, -0.051042, 0.012085, -0.080667, 0.012417, -0.045482, -0.003071, 0.054554, 0.086846, 0.060268, -0.003367, 0.089799, -0.071732, -0.040993, -0.021304, 0.034519, 0.071524, 0.037184, -0.02603, 0.007466, -0.042933, -0.047761, -0.002297, 0.037799, -0.04783, -0.022815, 0.057605, -0.045555, 0.048658, -0.002028, -0.007437, 0.000434, 0.005754, 0.024614, -0.111373, 0.0, -0.067364, 0.028085, 0.026326, -0.042986, 0.020535, -0.037688, 0.005757, 0.008457, -0.028238, 0.035884, -0.051784, 0.082139, 0.056162, -0.041705, 0.040069, 0.000906, -0.025448, 0.088815, 0.034357, 0.063588, -0.028534, 0.007312, 0.041517, 0.052009, 0.079794, -0.053674, 0.048404, -0.033955, 0.023177, -0.002077, 0.013432, 0.005764, -0.042101, -0.00224, -0.03132, -0.010124, 0.023562, -0.041932, -0.022526, -0.027097, -0.066885, 0.011798, -0.003962, -0.031383, 0.014171, -0.021013, -0.05447, -0.036855, 0.02334, 0.04342, -0.052903, 0.034709, -0.097496, 0.001034, 0.040924, -0.067688, -0.052731, 0.03551, 0.072953, 0.036193, -0.004959, -0.056213, -0.079794, 0.059293, -0.086512, 0.034829, 0.041639, -0.014776, 0.0296, -0.015229, -0.030027, -0.035644, 0.093489, 0.02991, -0.079379, -0.03895, 0.00043, 0.07084, 0.019425, 0.017925, -0.068686, 0.048649, 0.077483, 0.055083, 0.07506, -0.057923, 0.051386, -0.015383, -0.035778, -0.026372, -0.05112, -0.04052, -0.058351, 0.113556, 0.027349, -0.0, 0.042322, -0.123712, -0.064558, -0.03619, -0.069054, -0.021142, 0.068435, 0.020781, -0.001234, -0.023099, 0.009356, 0.116153, 0.050967, 0.05622, 0.021579, -0.055487, 0.092283, -0.065613, -0.000126, 0.007464, 0.063508, -0.022107, 0.015276, 0.055803, -0.049863, 0.059829, -0.002139, -0.048342, -0.032818, -0.027797, -0.088542, 0.038083, -0.040767, 0.052602, -0.108168, -0.051403, 0.049898, 0.00425, -0.061163, -0.041082, -0.000656, 0.027499, -0.071896, -0.016463, 0.053155, -0.064442, 0.02652, 0.004505, 0.090024, -0.028035, 0.011481, -0.076122, 0.054652, 0.001501, -0.05081, 0.048523, 0.107275, -0.00694, 0.014076, 0.030658, 0.082474, 0.086332, 0.060037, -0.023274, 0.011091, -0.005318, -0.028725, -0.042459, -0.080229, -0.009783, 0.062287, -0.013044, -0.00181, 0.113773, 0.053007, 0.001047, 0.024724, -0.091521, 0.028254, -0.018854, -0.098551, 0.044977, 0.027319, 0.075742, 0.003532, 0.029846, 0.069072, -0.038939, 0.038236, -0.000628, -0.078426, -0.058991, -0.04513, -0.021636, -0.011182, -0.0, -0.079919, 0.028896, -0.056829, -0.035314, -0.041516, -0.084923, -0.019438, 0.054894, 0.072452, -0.082806, 0.066545, -0.011045, -0.067907, 0.044733, -0.03376, 0.040012, -0.076608, -0.031116, -0.026656, -0.07424, -0.02046, 0.041513, 0.093477, -0.031453, 0.000111, -0.04442, -0.011528, 0.086236, 0.055989, -0.026315, -0.050463, 0.035149, 0.062796, -0.046893, -0.02377, -0.030679, 0.077454, 0.04156, -0.012792, -0.022141, -0.068655, -0.083683, -0.00476, -0.043849, 0.029689, 0.017626, -0.117558, 0.014816, 0.072144, -0.110652, 0.022517, -0.019496, 0.016468, 0.034795, 0.035482, -0.031014, -0.05581, -0.049013, 0.035142, 0.037772, 0.011246, -0.103212, 0.030464, -0.016311]</t>
  </si>
  <si>
    <t>273b4c77-4742-4732-8603-9f737578c99c</t>
  </si>
  <si>
    <t>Companies rehire workers laid off for AI as automation falls short</t>
  </si>
  <si>
    <t>[-0.04248, -0.05283, 0.090001, 0.030923, 0.03147, 0.063243, -0.037073, -0.008935, -0.076705, -0.005134, 0.023245, 0.085446, -0.016962, -0.020705, -0.003184, 0.076182, -0.023334, -0.027607, -0.016435, -0.080837, -0.01436, -0.028136, -0.109756, 0.00541, 0.0448, 0.024373, 0.030506, 0.003749, -0.062495, 0.039963, -0.043689, 0.018636, 0.049744, -0.004462, 0.046044, 0.012458, -0.04202, 0.023618, 0.057625, -0.099753, 0.026046, -0.069839, -0.015229, -0.006504, 0.038918, 0.104101, 0.028219, -0.080031, -0.024304, 0.083947, -0.03366, 0.016366, 0.063043, 0.034, 0.001841, -0.002307, 0.031179, -0.015272, 0.003022, 0.078326, 0.072137, -0.039865, 0.053539, 0.008886, 0.005357, 0.042641, -0.028998, -0.093835, -0.081143, 0.030001, 0.005598, -0.030872, -0.054121, 0.079415, 0.009819, 0.010025, -0.013662, -0.051748, 0.068511, -0.091707, -0.080696, -0.066222, -0.057891, 0.122904, -0.088283, -0.008204, 0.004525, -0.01405, 0.045001, -0.009045, 0.022285, -0.082845, -0.012596, 0.025817, 0.04467, -0.04146, 0.052445, 0.051776, -0.050606, -0.039379, -0.037319, 0.003177, -0.037151, -0.059822, -0.03659, 0.039699, 0.015622, -0.034615, 0.063812, -0.008328, 0.003911, 0.033643, -0.01835, -0.005181, 0.007043, 0.048826, -0.063146, 0.058019, 0.019829, 0.040472, 0.033004, 0.035813, -0.03442, 0.042007, 0.025849, -0.010866, -0.041333, 0.0, -0.043621, 0.025985, -0.002681, 0.045925, 0.121326, -0.099553, -0.00236, 0.027355, 0.031603, 0.006319, -0.17373, 0.078681, -0.013051, -0.057574, -0.064651, -0.036511, 0.074461, 0.04595, -0.055888, 0.029368, 0.067865, -0.047392, -0.015609, 0.032995, -0.016122, -0.016347, -0.036355, -0.018818, 0.026016, 0.016593, -0.054676, 0.085718, 0.020289, 0.027823, -0.079035, 0.010402, -0.036255, 0.055339, -0.076064, 0.057346, 0.027956, 0.023235, 0.02736, -0.063971, 0.05217, -0.116866, 0.016687, -0.043115, 0.040588, 0.048137, -0.007268, 0.0339, 0.083611, -0.04286, 0.01173, 0.002903, -0.036415, 0.046363, 0.040976, -0.019324, -0.017063, 0.042681, -0.053035, 0.040811, 0.034499, 0.033044, 0.07106, 0.012308, 0.034703, 0.077229, 0.064883, 0.038016, -0.025899, 0.003309, -0.041618, 0.005595, -0.032702, -0.022005, 0.000338, -0.047152, 0.088799, 0.002934, 0.004615, -0.072707, 0.153128, -0.05836, -0.024323, -0.042183, -0.023223, 0.001425, -0.003166, -0.030959, -0.019556, 0.051032, 0.007584, -0.0, -0.074636, -0.042106, -0.085601, 0.057213, 0.042604, 0.005657, 0.030092, 0.057018, -0.034428, 0.034213, -0.001752, -0.056151, -0.052976, 0.013317, -0.042299, -0.006336, -0.041861, -0.04053, 0.04434, 0.033058, 0.080831, 0.006901, -0.053701, 0.015638, 0.108392, 0.093507, -0.108214, 0.075173, -0.04632, -0.006303, -0.045974, -0.048261, -0.092864, 0.086401, 0.108143, -0.014915, -0.117599, 0.025489, 0.007298, 0.045967, 0.044986, -0.026784, -0.046607, 0.015674, 0.026692, -0.04786, -0.014986, 0.005291, 0.013466, -0.04222, 0.023189, -0.023716, -0.025111, -0.011699, -0.048997, -0.045011, 0.054455, -0.006117, -0.09513, 0.054527, -0.013851, -0.091105, 0.141499, 0.05477, -0.006779, -0.033504, 0.070265, 0.083652, -0.053085, -0.055877, 0.028441, 0.037283, -0.024527, 0.01075, -0.033765, -0.03732, -0.002884, -0.006816, -0.046262, 0.002255, 0.016752, -0.054328, 0.026652, 0.061652, -0.012912, 0.104702, -0.066228, 0.075304, 0.027839, 0.039103, -0.061954, -0.003518, 0.022152, 0.052068, -0.114977, -0.0, 0.004153, 0.064675, 0.04765, 0.00047, 0.09213, -0.029005, -0.00713, 0.074916, 0.002417, -0.031558, -0.069925, -0.086339, 0.047772, 0.056631, 0.025595, 0.06542, 0.00029, -0.004034, -0.007699, -0.014041, 0.080791, 0.032181, -0.031915, 0.009121, -0.0375, -0.011682, -0.04861, -0.010188, 0.008737, 0.081922, -0.099966, 0.075071, 0.052272, -0.045294, 0.007791, -0.058089, 0.108509, -0.047512, -0.114913, -0.071431, 0.005186, 0.027819, -0.062641, -0.071654, 0.102438, -0.089459, -0.050343, -0.015214, 0.023485, -0.007965, 0.033859, 0.010657, 0.02423, 0.078046, 0.053383, -0.035816, 0.024568, -0.028928, -0.036765, 0.006859, -0.050828, -0.001699, 0.033741, -0.004383]</t>
  </si>
  <si>
    <t>[0.002993, -0.048166, -0.047387, -0.051172, -0.039858, 0.019998, 0.001507, 0.018992, -0.039866, 0.073875, -0.020883, 0.007193, -0.021845, 0.019825, 0.027716, 0.056648, -0.001583, -0.054124, -0.000882, -0.041334, 0.021258, -0.035034, -0.105843, -0.073922, -0.036403, 0.001408, 0.03572, -0.041459, -0.017587, 0.004811, -0.084724, 0.086597, 0.000928, -0.031977, 0.025909, 0.004918, 0.005033, -0.029484, 0.065587, -0.082773, 0.066569, -0.016548, 0.016546, 0.013352, 0.076861, 0.046572, 0.049029, 0.0207, -0.002367, 0.002662, -0.097038, -0.042421, 0.029736, -0.045339, -0.059312, -0.012575, 0.033188, -0.034264, 0.018123, -0.114521, 0.020874, -0.019841, 0.051464, 0.077065, 0.092861, 0.029546, -0.093038, 0.023013, -0.019139, -0.063477, -0.055478, -0.0711, 0.009777, -0.04572, -0.032447, 0.036948, 0.04565, 0.089902, 0.070232, -0.021501, 0.05155, 0.054628, 0.011015, -0.04718, 0.023896, 0.030656, 0.001717, -0.064532, 0.017127, 0.00558, 0.05633, -0.01093, 0.059613, 0.017012, 0.049555, -0.043185, -0.0471, -0.058407, 0.002154, -0.023063, 0.041515, 0.085308, -0.007712, 0.087669, -0.007972, 0.051199, -0.007398, -0.016065, 0.13065, -0.000222, -0.044634, 0.076859, 0.001026, -0.074864, -5.1e-05, 0.073983, -0.05674, 0.09355, 0.103282, 0.019445, 0.006742, -0.104443, -0.072669, -0.030763, 0.045174, 0.049668, -0.100334, -0.0, -0.134267, 0.101402, 0.074239, 0.028056, 0.085183, -0.0742, -0.037235, -0.018954, -0.11625, -0.056574, -0.071108, 0.069173, 0.023731, 0.040647, 0.042982, -0.035006, 0.010017, 0.079361, 0.048553, 0.013164, 0.007779, 0.016234, 0.050552, 0.002278, 0.088492, 0.063253, 0.008623, -0.027799, -0.027921, 0.024167, -0.037782, 0.053422, -0.040187, 0.036039, -0.006919, 0.015963, -0.046442, -0.031879, 0.046421, 0.103479, 0.019573, 0.013366, 0.005441, 0.038105, -0.043806, -0.053604, -0.081178, -0.069636, 0.046809, 0.067607, -0.048082, 0.005646, -0.093182, -0.026864, 0.093636, -0.087029, -0.029223, 0.025058, 0.101034, -0.089964, -0.013075, -0.011187, -0.117887, 0.088744, -0.034416, 0.020512, 0.035275, -0.058495, 0.060969, 0.031025, -0.014326, 0.006114, -0.011669, 0.013003, -0.029628, -0.015928, -0.001951, -0.030405, 0.011351, -0.008134, 0.023623, 0.089473, 0.01211, -0.019356, 0.016356, -0.063266, -0.041369, 0.050336, 0.076176, -0.052493, -0.04342, -0.004122, -0.002436, 0.104356, 0.010587, 0.0, -0.00221, -0.066407, -0.00278, 0.015732, -0.044312, -0.033272, 0.001268, -0.100261, 0.04559, -0.01115, 0.050026, 0.037685, 0.000404, 0.048339, 0.025792, 0.006505, 0.021244, -0.049376, 0.045437, -0.056924, 0.09518, -0.010517, -0.010681, 0.028752, -0.009781, 0.031524, -0.070241, -0.035595, 0.044678, -0.047723, -0.086467, -0.035386, -0.054049, 0.100754, -0.08887, 0.025864, 0.028124, -0.010991, 0.003024, 0.130767, 0.025718, -0.004911, 0.006805, -0.043455, -0.048876, -0.000481, 0.052747, 0.019248, 0.026768, 0.032183, 0.080415, 0.02483, -0.035149, -0.024686, -0.057671, 0.077241, 0.050259, -0.007222, -0.049386, 0.021718, 0.048168, 0.034579, 0.011433, -0.077135, 0.010657, 0.016948, -0.00661, 0.120559, -0.032654, -0.092936, -0.001594, 0.013124, -0.023703, -0.010145, 0.00996, -0.019019, -0.060094, -0.056293, -0.033021, 0.026554, -0.063141, -0.000407, 0.015097, 0.073485, -0.028894, 0.120537, 0.035418, -0.085672, 0.025207, -0.068697, -0.031991, -0.076224, 0.037931, 0.034769, -0.082312, -0.0, -0.033362, -0.072529, 0.008801, -0.009805, 0.068616, 0.001302, -0.076253, 0.049195, 0.026458, -0.094172, 0.0225, -0.024466, 0.03275, 0.027398, 0.069915, 0.083317, -0.032616, -0.04001, 0.01674, 0.009113, 0.03915, 0.059586, -0.009896, -0.005061, -0.044766, -0.012652, 0.056637, 0.014664, -0.04017, 0.051569, -0.101342, 0.044435, 0.021814, 0.008848, -0.044015, -0.018165, 0.100769, -0.003675, -0.017805, -0.056999, -0.006353, 0.018779, -0.033475, 0.002309, -0.03171, 0.016638, 0.002032, -0.077072, 0.016681, -0.118596, -0.037255, 0.06752, -0.007357, 0.095049, 0.064905, -0.020504, 0.012395, -0.034857, -0.019515, 0.034918, 0.034254, -0.060069, 0.100669, -0.041196]</t>
  </si>
  <si>
    <t>[0.017959, 0.002729, -0.079181, 0.019579, -0.052466, 0.08351, -0.002637, 0.009339, 0.021851, 0.007474, -0.022506, 0.074438, -0.015021, -0.01596, 0.048847, 0.005364, -0.028832, -0.056436, 0.005346, 0.045379, -0.020543, -0.018168, -0.024332, 0.046475, 0.045273, -0.029783, 0.062651, 0.02683, 0.01989, -0.022537, -0.070686, 0.073208, 0.041383, -0.040116, 0.101598, -0.005151, 0.034825, 0.010836, 0.00638, -0.003567, 0.058453, -0.030334, -0.055424, 0.057233, 0.033769, 0.001104, 0.033431, 0.005279, -0.020307, 0.052007, 0.042038, 0.046515, 0.041018, -0.067604, -0.071649, 0.038942, -0.03162, 0.042519, 0.109036, -0.024211, -0.043894, 0.004332, 0.03201, 0.042409, 0.107106, -0.027415, -0.095658, 0.026693, -0.056158, 0.004815, 0.013403, -0.093685, -0.016695, -0.103027, -0.053219, 0.050333, 0.021536, 0.111009, 0.019238, -0.077015, 0.058279, -0.044109, -0.008487, -0.016322, -0.030601, 0.006461, 0.105126, -0.053497, 0.029947, 0.008851, 0.007801, -0.012426, 0.131642, 0.031995, -0.014167, -0.092964, -0.048968, 0.008766, 0.059836, 0.007835, 0.069703, 0.064488, -0.065131, 0.038151, -0.037923, -0.054754, -0.054906, 0.067031, 0.108445, -0.028735, -0.003905, 0.085173, 0.054404, -0.023212, -0.034733, 0.04414, -0.066809, -0.018068, 0.048248, 0.009042, 0.082408, 0.03396, -0.072636, -0.02972, -0.034195, 0.008378, -0.033635, -0.0, -0.051178, 0.0005, -0.014172, -0.035758, -0.004742, -0.019569, -0.076905, -0.032701, -0.049994, 0.014515, -0.016889, 0.097093, -0.002682, -0.020394, -0.019483, -0.022464, -0.052539, 0.044182, 0.108301, -0.016632, 0.013413, -0.037955, 0.00516, -0.040699, 0.026089, 0.027653, -0.036168, -0.035749, 0.013266, 0.002145, 0.041036, 0.009104, -0.072185, 0.00167, -0.011624, -0.018563, 0.021458, -0.054448, -0.0007, 0.00062, -0.066536, 0.002878, -0.046494, -0.00135, -0.022005, 0.026289, -0.067184, -0.025228, -0.002196, 0.075169, -0.016911, 0.00891, -0.070202, -0.045749, 0.029448, -0.069921, -0.031698, 0.009918, 0.011931, -0.043333, 0.126374, -0.007364, -0.078238, -0.041276, -0.118747, 0.13052, 0.018933, 0.022955, -0.088299, 0.022965, -0.017799, 0.085526, 0.003245, -0.003402, -0.033891, -0.03767, -0.027814, 0.016288, 0.083566, 0.058423, 0.119855, 0.001074, 0.065486, -0.055017, 0.038026, -0.048649, 0.031906, -0.037291, -0.019129, -0.065501, -0.024507, -0.051513, 0.018708, 0.08108, -0.01113, -0.0, -0.034372, 0.011179, -0.002945, -0.034144, -0.039374, -0.047363, 0.100383, -0.036097, -0.00859, 0.037963, 0.04931, 0.063274, -0.035741, 0.10763, -0.056839, -0.021143, 0.112156, -0.0087, 0.036349, -0.054841, 0.027852, 0.009342, -0.072886, 0.053538, -0.031961, 0.069657, 0.008245, 0.00437, -0.01206, -0.0242, -0.00589, 0.007578, -0.054405, 0.035547, -0.084448, -0.007806, 0.040865, -0.044682, -0.041813, -0.027379, -0.016139, -0.01374, -0.04808, -0.020438, 0.036135, 0.02312, 0.060856, 0.086807, 0.087278, 0.057741, -0.010529, 0.021933, 0.02431, 0.058593, -0.062189, -0.000967, 0.05025, -0.037643, -0.047503, 0.001041, 0.01794, 0.087794, 0.03244, -0.035365, 0.034848, 0.044211, 0.035937, -0.0685, 0.006448, -0.083789, 0.035283, -0.003, -0.088431, 0.003466, 0.021377, 0.060729, -0.055992, -0.079567, -0.049684, -0.004746, -0.081831, -0.016496, 2e-06, 0.094785, 0.004307, 0.079463, -0.029519, -0.061342, 0.021383, 0.057008, -0.034886, -0.087182, 0.068954, 0.096719, -0.036345, -0.0, -0.056622, -0.002412, -0.023551, -0.061159, 0.090088, -0.05126, 0.017467, 0.017403, 0.03597, -0.043567, -0.023481, 0.039652, -0.050371, 0.001681, -0.018916, 0.00401, -0.021858, -0.045323, 0.013577, -0.036655, 0.082753, 0.089195, 0.039897, -0.040323, -0.058673, -0.072106, -0.005221, 0.073626, 0.048636, -0.052696, -0.034081, 0.06137, 0.054181, -0.036351, -0.052046, -0.061515, 0.105461, 0.145954, 0.023877, -0.011566, -0.031636, -0.106993, -0.016292, 0.007108, -0.002978, 0.017386, -0.099005, -0.021326, 0.029712, -0.178789, 0.035105, -0.010721, 0.0037, 0.086147, 0.074997, -0.054083, -0.064414, -0.013969, -0.026453, 0.001526, -0.046302, -0.108707, 0.001174, -0.033144]</t>
  </si>
  <si>
    <t>2b3ee594-b9e3-4c7b-9721-471bf15554f4</t>
  </si>
  <si>
    <t>USO, UCO Dip As Oil Prices Slide After Trump Declares Iran Deal 'Complete' — Analyst Sees $80 Brent By Year-End</t>
  </si>
  <si>
    <t>[5.2e-05, 0.053641, 0.031188, 0.049313, -0.036748, -0.033596, -0.071306, 0.017108, -0.01041, -0.011622, -0.012819, 0.010753, -0.077345, 0.000879, -0.027092, 0.003842, -0.032702, -0.03987, 0.013896, -0.005495, -0.025309, -0.00095, -0.032066, 0.02785, 0.011143, 0.079675, 0.036731, 0.017517, 0.014887, 0.050102, -0.013404, 0.032629, -0.000597, -0.010489, -0.001414, -0.010365, -0.015765, -0.013429, 0.057951, 0.051231, 0.071277, -0.059938, -0.054379, -0.011706, -0.020435, 0.024389, 0.079366, 0.054599, 0.084274, 0.028331, 0.001735, 0.029326, 0.004571, -0.057612, 0.007167, -0.018296, 0.032682, -0.04009, -0.006081, 0.037815, -0.046391, -0.012521, -0.010093, 0.060803, 0.08689, 0.006665, 0.018883, -0.045714, -0.02132, -0.003113, -0.013849, 0.042333, -0.006738, -0.019646, -0.003629, -0.026048, 0.099349, 0.02214, 0.094914, -0.097522, 0.087752, -0.037801, -0.029383, -0.174493, -0.003472, 0.036838, 0.086116, -0.032367, 0.047589, 0.010055, -0.053705, -0.129841, -0.065494, 0.007122, -0.01257, 0.064183, 0.062343, -0.043159, -0.086643, 0.003286, 0.034883, 0.069426, -0.028809, -0.04011, -0.033953, -0.004764, -0.017221, -0.012147, -0.085573, 0.038794, -0.0689, -0.036015, -0.028067, -0.115272, -0.067448, -0.032503, 0.02312, -0.125936, -0.00596, -0.055332, -0.039418, -0.017295, -0.040465, 0.151747, 0.009394, -0.036524, -0.02535, -0.0, -0.052821, 0.00983, -0.043564, -0.105853, -0.066309, 0.003864, -0.054124, -0.008295, -0.037792, 0.046162, -0.029344, 0.077863, -1.4e-05, 0.132415, -0.08806, -0.120115, 0.071999, 0.109737, 0.010842, 0.010497, -0.055392, -0.052371, -0.009755, -0.06808, -0.03992, 0.161893, -0.008774, -0.000612, -0.012864, -0.006494, -0.047727, 0.050213, -0.045425, -0.029736, -0.055701, -0.022576, -0.043421, -0.000787, 0.016516, 0.028373, 0.014423, 0.073813, -0.026326, 0.008963, 0.037648, -0.031233, 0.022425, -0.055993, 0.061553, -0.03208, -0.003547, 0.058866, -0.071511, -0.038823, -0.011197, -0.120022, -0.013559, -0.030476, -0.003591, -0.032444, -0.06156, 0.091884, -0.114599, -0.004258, -0.122122, 0.034538, -0.05804, 0.079918, -0.002951, 0.099488, 0.029322, 0.014359, 0.13892, 0.036021, 0.009417, 0.06104, 0.025633, 0.040755, 0.106442, 0.059445, 0.055408, -0.023274, 0.156312, -0.003334, -0.063246, 0.013562, -0.015361, 0.001288, -0.035042, 0.010616, -0.081135, 0.01237, 0.071643, 0.051976, 0.106119, -0.0, 0.022637, 0.047594, -0.027658, -0.068771, 0.025092, 0.024357, 0.032404, 0.035018, -0.006737, 0.012985, 0.04142, -0.037272, 0.003954, -0.001557, 0.029064, 0.012735, 0.048009, -0.047197, 0.03294, -0.046021, -0.000644, 0.04597, 0.020308, 0.121365, 0.00945, -0.05328, 0.104, -0.033169, -0.019485, 0.010828, -0.005029, -0.038418, -0.072753, 0.088938, 0.041817, 0.067454, -0.049752, 0.064114, -0.02628, 0.010992, 0.063506, -0.029335, -0.005664, 0.022296, 0.063835, 0.067895, 0.003061, 0.002104, 0.035309, 0.017933, -0.014098, 0.010146, -0.034653, -0.035488, -0.067334, 0.027066, 0.019654, -0.041238, -0.060442, -0.013533, 0.0135, -0.027526, 0.043077, -0.030394, -0.049707, 0.012851, -0.018162, -0.078005, 0.058551, 0.037366, 0.026694, -0.022729, -0.012331, -0.080825, 0.088059, 0.073167, -0.002899, -0.011152, 0.041935, 0.056731, 0.019373, -0.021837, -0.078305, 0.041267, 0.048368, 0.02672, -0.141187, -0.047606, -0.018879, -0.022208, -0.056717, -0.021728, -0.038097, -0.078068, 0.003391, -0.0, -0.014965, -0.023537, 0.067862, 0.036355, -0.001273, 0.065057, -0.031579, -0.013488, -0.041282, -0.068818, 0.092569, -0.001866, -0.063544, 0.032204, -0.00415, -0.016225, -0.057567, 0.041936, 0.048748, -0.016845, -0.000893, 0.028547, -0.029651, -0.006294, -0.003104, 0.018508, 0.024533, 0.100045, -0.034158, 0.003246, 0.048215, -0.051084, -0.078116, 0.0383, 0.083831, -0.030012, 0.012553, 0.060107, -0.011161, 0.061191, -0.001477, 0.028785, -0.018704, -0.011963, -0.036949, 0.067231, -0.044863, -0.028316, 0.061982, -0.032663, 0.025064, 0.016849, 0.001749, -0.002787, 0.065226, -0.053944, -0.038617, -0.034301, -0.037787, -0.00962, -1.5e-05, -0.083193, -0.041617, 0.080206]</t>
  </si>
  <si>
    <t>[-0.000277, -0.08568, -0.000159, 0.029765, 0.029727, -0.092166, 0.002427, -0.025931, -0.01661, -0.016104, -0.0218, 0.129882, -0.000539, -0.015542, -0.019917, 0.075905, -0.022776, 0.003242, -0.018937, -0.070764, -0.024887, -0.032194, 0.005002, -0.088364, 0.039389, -0.01954, 0.034443, -0.044343, -0.043867, 0.033381, 0.026853, 0.03712, 0.054377, 0.004807, 0.02646, 0.05604, -0.047575, -0.023647, 0.010952, -0.059338, 0.065722, -0.070705, -0.035221, -0.086545, 0.048556, -0.001786, -0.01782, -0.065461, 0.023913, 0.011075, -0.063626, -0.053779, 0.021425, -0.019093, 0.02144, -0.021191, -0.016217, -0.103608, 0.012066, 0.025433, 0.080155, -0.027896, -0.005452, -0.01269, 0.077005, 0.03393, -0.01369, -0.070035, -0.071235, 0.02716, 0.089399, -0.015762, -0.064811, -0.019087, -0.037277, -0.002772, 0.082383, -0.000994, 0.081829, -0.016483, -0.006239, -0.023967, -0.061717, -0.00999, -0.015136, 0.046779, -0.009559, -0.037316, 0.054688, 0.027736, 0.033447, -0.085951, 0.078217, 0.00353, 0.059332, -0.02913, -0.039067, 0.043468, -0.082134, 0.014887, -0.019159, -0.000373, 0.009161, -0.003551, -0.072326, 0.045013, 0.082398, 0.072696, -0.019972, 0.049832, 0.00961, -0.027216, 0.128662, 0.027367, 0.028122, 0.022528, -0.0368, 0.094997, -0.034543, 0.138274, 0.035212, 0.096746, -0.02335, 0.052472, -0.024599, 0.053483, -0.015564, 0.0, 0.07248, 0.018826, 0.08751, -0.003855, 0.064778, 0.037094, -0.012419, 0.005353, 0.064187, 0.016772, -0.077426, 0.069095, -0.050078, 0.021069, 0.011105, 0.019453, 0.020761, 0.026589, 0.053626, -0.053692, 0.054496, -0.043178, -0.040445, -0.037385, -0.00976, -0.020805, 0.017834, -0.047038, 0.105424, 0.036204, -0.057522, 0.108622, -0.024854, 0.004058, -0.006966, 0.037447, -0.033694, 0.005554, -0.004987, -0.024496, -0.065622, 0.109776, 0.052692, -0.016678, -0.023393, 0.007193, 0.023586, -0.006473, 0.046651, 0.046939, -0.051903, 0.039466, 0.024637, -0.046879, 0.033856, -0.060969, 0.054905, 0.028464, 0.019585, 0.051179, -0.011468, 0.010056, -0.048591, 0.081436, -0.060014, 0.125913, 0.021553, 0.098432, -0.060214, 0.071628, 0.012231, 0.043649, -0.048173, 0.011702, -0.119233, -0.051571, 0.045296, -0.053214, 0.022414, -0.024646, 0.030846, 0.046843, 0.043647, -0.027442, 0.003353, 0.046955, -0.03367, 0.003982, 0.071345, 0.097591, -0.05727, -0.017917, -0.035002, 0.07576, -0.125576, -0.0, -0.167175, -0.044263, -0.002518, 0.002293, -0.050591, -0.002243, 0.016229, 0.053764, -0.002957, 0.054097, 0.005092, -0.004904, 0.046955, 0.026817, -0.029563, -0.075719, 0.005754, -0.040397, -0.080381, 0.010294, 0.01279, 0.065937, -0.034448, 0.006714, 0.068724, 0.069918, -0.062961, 0.019126, -0.047348, -0.009696, 0.023166, -0.009791, -0.094286, 0.053642, 0.053673, 0.029991, 0.004451, -0.023761, 0.014027, 0.038928, 0.02689, -0.084797, -0.073032, -0.037705, -0.003399, -0.035655, -0.041466, -0.015177, -0.037623, -0.132362, -0.039595, -0.003384, -0.058388, 0.003181, -0.080578, -0.012457, 0.016746, -0.042738, -0.048882, -0.009657, -0.014888, 0.019539, 0.050314, 0.021515, -0.097579, -0.049219, 0.076982, 0.031939, -0.00279, -0.149317, -0.024718, -0.087518, -0.018866, 0.02607, -0.049219, 0.080996, -0.062546, -0.028286, -0.000351, -0.004093, 0.062194, -0.107682, 0.058697, 0.052262, 0.000773, 0.046409, 0.071999, -0.022879, -0.017738, 0.067161, -0.075241, -0.059274, -0.058055, 0.060083, -0.023906, -0.0, 0.021194, -0.044726, 0.110956, -0.021955, -0.07074, -0.060188, -0.016902, 0.068276, 0.01903, 0.028851, 0.035154, -0.018928, -0.110218, -0.01216, -0.013825, 0.089442, 0.024488, -0.007211, 0.012035, -0.028113, 0.062239, 0.047695, 0.06194, -0.030064, -0.011306, -0.095577, -0.075105, 0.069935, -0.043767, 0.018364, -0.023513, -0.034836, 0.040667, -0.020399, 0.018301, 0.021924, 0.091503, -0.014759, -0.013458, 0.007936, -0.011578, 0.015576, -0.040229, -0.025302, 0.031595, -0.014476, -0.101428, -0.018774, 0.008066, -0.030508, 0.012574, -0.002903, 0.034544, 0.081428, 0.082169, -0.063884, -0.038381, -0.041538, -0.112467, 0.026177, 0.073947, -0.073821, -0.025583, 0.003418]</t>
  </si>
  <si>
    <t>Q1</t>
  </si>
  <si>
    <t>How is CBA using AI to improve software engineering productivity?</t>
  </si>
  <si>
    <t>[-0.00142, 0.030997, -0.029219, -0.016555, -0.007393, -0.002945, -0.023806, 0.058989, 0.006764, -0.035817, -0.122948, -0.002114, 0.055334, -0.038145, 0.013813, 0.133706, 0.062989, -0.064052, -0.028822, -0.107158, -0.022115, 0.037941, -0.004136, 0.005567, -0.021541, 0.03503, 0.026912, -0.08838, 0.035691, -0.005563, -0.020355, 0.094073, 0.063316, -0.011868, -0.043541, 0.050735, -0.007571, 0.000774, 0.120352, -0.007324, -0.090783, 0.019846, -0.017634, -0.022061, 0.069221, -0.023232, -0.000986, -0.030342, 0.059194, -0.017813, -0.075953, 0.002761, 0.014751, -0.028328, 0.047192, 0.037357, 0.014987, 0.004344, 0.04181, 0.039312, -0.030131, -0.004157, 0.053396, 0.016459, 0.127241, -0.052867, -0.088593, -0.019722, -0.017626, -0.032343, 0.005044, 0.022812, -0.047283, -0.054357, 0.045785, -0.00519, -0.061123, 0.059586, 0.074887, -0.087575, -0.013282, -0.017371, 0.002845, 0.085466, 0.00195, 0.005425, 0.037484, -0.056105, 0.000937, 0.075196, 0.076633, 0.012573, 0.009327, -0.008338, 0.02373, 0.00012, 0.035157, -0.069022, -0.065848, 0.040883, 0.023442, 0.027363, -0.025622, -0.071334, -0.107796, 0.027408, 0.161278, 0.050551, 0.039449, -0.025414, -0.02259, 0.026124, -0.048699, -0.055013, -0.001, 0.032686, -0.008386, 0.080183, 0.027729, 0.025007, 0.015846, -0.008278, 0.006963, 0.031596, 0.030199, -0.000211, -0.096139, -0.0, 0.012318, 0.024356, -0.034513, 0.052218, 9.6e-05, -0.103324, -0.031412, 0.021669, 0.039288, -0.061122, -0.038284, 0.067779, -0.030061, -0.007995, 0.118215, -0.017568, -0.103456, 0.055599, -0.021597, 0.021158, 0.027889, -0.128111, 0.058324, -0.014197, 0.051734, 0.066672, 0.10846, -0.036689, 0.04277, 0.012931, 0.006168, 0.06511, -0.074874, 0.051714, -0.013296, 0.047675, -0.0016, 0.050403, 0.022322, 0.132234, -0.057139, 0.023433, 0.013144, -0.034045, 0.023307, -0.012426, -0.005128, -0.075109, -0.004194, 0.018299, 0.014512, -0.005306, 0.039443, -0.029964, 0.037808, -0.043574, 0.010181, 0.006156, 0.05429, 0.016914, -0.01488, 0.079052, -0.049297, 0.069292, -0.050285, 0.037268, -0.036594, 0.092702, 0.077075, -0.060513, 0.01498, 0.005731, 0.017805, -0.063054, -0.021776, -0.060999, -0.072574, -0.088595, 0.049556, 0.015893, -0.023114, 0.000877, 0.0485, -0.105563, 0.072995, -0.052452, 0.008288, 0.023432, -0.049638, 0.029865, -0.041065, 0.012779, 0.003232, 0.079458, 0.009684, 0.0, -0.051059, -0.012403, -0.024971, -0.005463, -0.010213, -0.042161, -0.001796, -0.036352, -0.006346, 0.011361, -0.072351, -0.030137, -0.066539, 0.074479, 0.027079, -0.043835, -0.001484, -0.054793, -0.051949, -0.045205, 0.005563, 0.00717, -0.027577, -0.051169, -0.0015, 0.036569, -0.132743, 0.05774, 0.038951, -0.023556, 0.033896, 0.003401, -0.107128, 0.053264, -0.005025, 0.032593, -0.014494, -0.049819, -0.006649, 0.011562, -0.010474, -0.040349, -0.075648, 0.005924, 0.021668, 0.054598, 0.016423, 0.027314, -0.016166, 0.022755, 0.129662, 0.002939, -0.023687, -0.072585, -0.068912, -0.020963, 0.024162, -0.047004, -0.022916, 0.016563, 0.01223, 0.025887, 0.075701, -0.014048, -0.023164, 0.023421, 0.029618, 0.070459, -0.05887, 0.008803, 0.06712, -0.030563, -0.048346, 0.073562, -0.013674, 0.039148, 0.014515, -0.071075, -0.065888, -0.03979, -0.069301, -0.018882, 0.034339, -0.047073, -0.061769, 0.076965, -0.000366, -0.0829, -0.038781, 0.089311, -0.107272, 0.005771, -0.005279, 0.017789, -0.078189, -0.0, -0.063876, -0.060537, 0.036939, -0.033579, 0.000561, -0.045996, -0.114442, 0.102932, 0.022578, -0.086168, 0.030919, -0.002229, -0.083814, 0.099449, 0.110899, 0.081818, 0.041354, 0.052693, -0.021995, -0.073386, 0.100403, -0.001687, -0.005133, -0.032635, 0.032586, -0.082838, -0.033469, 0.064423, -0.032569, 0.026532, 0.024262, 0.087276, 0.021461, 0.010232, 0.064323, -0.042979, 0.082824, 0.005169, -0.039146, -0.037847, -0.020344, 0.076441, -0.019726, -0.033745, 0.059826, -0.097541, -0.071628, -0.011975, 0.054988, -0.056437, 0.028788, -0.062613, -0.016374, 0.061925, 0.098283, 0.032496, 0.021325, -0.0415, -0.018268, -0.002637, -0.037709, 0.019967, 0.082768, -0.009469]</t>
  </si>
  <si>
    <t>Q2</t>
  </si>
  <si>
    <t>What technology leadership changes has CBA made to support its AI strategy?</t>
  </si>
  <si>
    <t>[-0.032768, 0.012862, 0.004916, -0.060403, 0.020949, 0.040934, -0.058324, 0.014494, -0.035164, -0.003594, -0.062333, 0.039363, 0.054489, -0.007582, 0.009892, 0.0564, 0.04146, -0.076965, -0.025214, -0.087964, -0.093218, 0.015436, 0.04445, -0.031311, -0.055082, 0.031778, 0.026198, -0.115094, -0.04845, -0.085089, -0.028435, 0.054937, 0.031171, 0.008301, -0.065164, 0.009648, 0.025911, 0.002978, 0.115391, -0.002781, -0.035009, -0.032887, -0.041439, -0.039274, 0.093276, 0.018134, 0.018551, -0.066564, 0.00911, -0.021086, -0.04471, -0.052814, 0.020482, 0.025073, -0.001345, -0.007307, 0.000731, 0.077262, 0.124866, 0.06024, 0.010129, -0.011353, 0.041085, 0.044034, 0.083643, -0.001608, -0.088242, -0.014896, -0.039382, -0.054758, 0.043874, -0.007136, -0.039954, -0.050094, 0.049245, 0.009674, 0.015707, 0.08994, 0.098225, -0.071447, 0.012875, 0.011432, -0.022446, 0.067913, 0.000427, 0.008822, -0.08567, -0.082063, -0.004493, 0.013504, 0.061322, 0.009057, 0.019798, 0.026159, -0.037778, -0.001064, -0.033513, -0.073973, 0.005533, 0.015911, 0.053666, 0.066287, -0.007779, -0.024905, -0.072169, 0.013704, 0.138417, 0.012452, 0.052417, 0.02172, 0.012348, 0.023515, -0.050883, -0.104228, -0.040551, -0.064382, -0.063143, 0.10741, 0.03866, 0.001506, 0.023215, -0.026287, 0.014326, -0.011676, 0.0228, 0.055117, -0.105813, -0.0, -0.001869, 0.050181, -0.003623, 0.071804, 0.018866, -0.055717, 0.014651, -0.001605, 0.010021, -0.072179, -0.010897, 0.102495, -0.062178, -0.046914, 0.11313, -0.111572, -0.091237, 0.028416, 0.03628, -0.028317, 0.015639, 0.006461, 0.044255, -0.038076, 0.109439, 0.049235, 0.023841, -0.012767, 0.011423, 0.022283, -0.007728, 0.060431, -0.113385, 0.005452, -0.016715, 0.021965, -0.039003, -0.045821, 0.011571, 0.084462, -0.070897, 0.052653, -0.05456, -0.022148, 0.013969, -0.026015, -0.016976, -0.039982, -0.003425, 0.005775, -0.079768, 0.016929, 0.016816, -0.072292, 0.114585, -0.042906, 0.044971, 0.041543, 0.069683, -0.023034, 0.055551, 0.069287, -0.115741, 0.091618, -0.032268, 0.052128, -0.029036, -0.012802, 0.016503, -0.006432, 0.027812, 0.02115, -0.006953, 0.029481, -0.068738, -0.030807, -0.091209, -0.037879, 0.015126, -0.024706, -0.036504, -0.000306, 0.100503, -0.030558, 0.048359, -0.04903, 0.011479, -0.000437, -0.012624, 0.009686, -0.059744, -0.004802, 0.004772, 0.126901, 0.008885, 0.0, -0.047146, -0.000518, 0.001095, -0.038956, 0.060397, -0.069312, 0.018503, -0.021643, 0.060023, -0.004533, 0.05915, -0.004795, -0.04875, 0.074902, -0.002405, -0.013602, 0.019955, -0.104301, -0.005429, -0.057809, 0.006238, 0.03494, -0.062968, 0.050722, -0.001338, 0.045791, -0.069007, 0.025766, 0.065371, -0.063554, 0.005082, -0.03604, -0.031425, 0.1606, -0.000321, 0.037261, 0.010969, -0.056971, -0.037782, 0.028841, 0.015613, -0.011588, -0.003381, 0.037083, 0.031175, 0.05068, -0.031836, 0.025088, -0.054879, 0.017836, 0.063282, -3.4e-05, -0.028685, -0.025593, -0.044388, 0.052178, 0.080998, -0.009811, -0.028119, 0.016156, 0.071616, 0.021696, 0.07105, -0.035193, -0.071687, 0.087823, 0.055684, 0.076013, -0.026184, 0.00335, 0.089508, -0.079882, -0.041752, 0.037929, -0.048551, 0.004775, -0.058717, -0.041921, -0.06962, -0.008004, -0.05061, 0.006009, 0.016715, -0.011886, 0.016694, 0.139651, 0.003135, -0.085372, -0.053879, 0.053779, -0.063234, -0.086789, 0.002049, 0.087987, -0.079557, -0.0, -0.068881, -0.033138, 0.026545, -0.002111, 0.078692, -0.024669, -0.076216, -0.000112, 0.064732, -0.069465, -0.015597, 0.010229, -0.008246, 0.068588, 0.113435, 0.034342, -0.025737, -0.004451, 0.008885, -0.047544, 0.045865, 0.038294, -0.006655, -0.069611, 0.026788, -0.024519, -0.11753, 0.054561, -0.003881, 0.07552, -0.037164, 0.069437, 0.01318, -0.056087, 0.014933, -0.035378, 0.045177, -0.027506, 0.009783, -0.026645, 0.005216, 0.076711, -0.035201, 0.000978, 0.029694, -0.026984, -0.069858, -0.010821, 0.045534, -0.098791, 0.025685, -0.001626, 0.003027, 0.068637, 0.115414, 0.040222, 0.01904, -0.042758, -0.02719, -0.001295, 0.014024, -0.065707, 0.053463, 0.042948]</t>
  </si>
  <si>
    <t>Q3</t>
  </si>
  <si>
    <t>How is CBA modernising its payment services?</t>
  </si>
  <si>
    <t>[-0.028458, 0.049505, -0.0517, -0.045503, -0.093112, 0.026766, -0.034272, -0.001016, -0.000674, -0.057106, -0.062035, 0.017244, 0.026087, -0.006552, 0.003697, -0.009174, 0.09344, -0.077728, 0.000825, 0.008683, -0.117572, 0.026279, -0.053473, 0.031322, 0.0154, -0.009648, 0.030198, -0.042319, 0.024202, -0.034861, -0.007758, 0.117217, 0.038826, -0.001824, -0.070657, 0.05224, 0.058522, -0.022612, 0.017456, 0.008731, -0.003663, -0.022995, -0.055134, -0.025048, 0.056588, -0.005526, 0.061958, 0.028192, -0.020482, 0.008583, 0.005765, -0.055131, 0.031551, 0.080508, -0.044861, -0.019729, 0.031495, 0.030006, 0.04966, 0.012092, -0.033827, 0.046137, -0.007394, 0.079645, 0.128457, -0.019426, -0.050948, -0.011773, -0.023621, -0.109675, -0.034758, -0.097741, -0.006853, -0.011731, -0.002384, 0.008098, -0.012519, 0.109655, -0.006198, -0.054491, 0.044902, 0.000744, 0.051598, 0.050264, -0.010547, 0.015507, -0.060412, -0.084628, -0.014493, -0.006295, 0.104017, 0.101221, 0.022164, -0.073029, -0.021176, -0.041585, 0.003888, -0.062914, 0.046093, -0.000131, 0.095826, 0.077377, 0.043456, -0.022774, -0.031394, -0.010272, 0.050681, 0.099951, 0.058548, 0.032279, -0.036287, 0.010819, -0.022893, -0.055054, -0.074501, -0.003224, -0.051184, 0.023063, 0.06805, 0.019601, 0.039659, 0.107553, -0.087251, -0.118976, -0.028056, 0.035456, -0.028519, -0.0, 0.012798, 0.019853, -0.016111, -0.012858, -0.048957, -0.031649, -0.02665, 0.056273, 0.021883, -0.020329, 0.069291, 0.08638, 0.03164, -0.006961, 0.033119, -0.002013, -0.160199, 0.008783, 0.110944, 0.099076, 0.000276, -0.025379, 0.067811, -0.00667, 0.076399, 0.022205, 0.043441, 0.016007, 0.058674, -0.02002, 0.074491, 0.018808, -0.023504, 0.025526, -0.045123, 0.059005, 0.060509, -0.01111, -0.011968, -0.038966, -0.053268, 0.013869, -0.032655, 0.021236, -0.001242, 0.086334, -0.031582, -0.018737, -0.009262, 0.054493, 0.019944, -0.02207, -0.095256, 0.033764, -0.012411, -0.061817, 0.047151, -0.055558, 0.00404, -0.124198, 0.014136, -0.098279, -0.073831, 0.031592, -0.075068, -0.014, -0.08391, -0.009969, -0.002518, -0.062116, -0.029031, 0.039069, 0.077679, 0.013823, -0.032195, -0.058725, -0.050417, 0.035011, 0.059881, 0.051204, -0.00847, 0.009887, 0.06264, 0.030524, 0.082422, 0.022858, 0.068849, -0.045515, -0.04876, -0.061375, -0.0396, -0.003325, 0.025664, 0.087071, 0.129653, 0.0, -0.010331, 0.020611, -0.031187, 0.062987, -0.029793, -0.079363, -0.034252, 0.006495, 0.0757, 0.014817, -0.057627, 0.014188, -0.017118, 0.056435, 0.013622, -0.046724, 0.011629, -0.043736, -0.010639, -0.060276, 0.011104, 0.022895, 0.016189, -0.008975, -0.001038, 0.018845, -0.079853, -0.052623, 0.036746, -0.001207, -0.026849, -0.008148, -0.050755, 0.055199, -0.077856, 0.01482, -0.067759, 0.044747, 0.035446, -0.025384, 0.008226, -0.035073, -0.092665, 0.002278, 0.056145, -0.024543, 0.015391, -0.018735, 0.00796, -0.004905, 0.062289, 0.002105, 0.004022, 0.009575, -0.049614, 0.07871, 0.106305, -0.024935, -0.03436, -0.017319, 0.064589, 0.104773, 0.060661, 0.040525, 0.00554, 0.026956, 0.062599, -0.026954, -0.000912, 0.013374, 0.063095, -0.04787, -0.0279, 0.031284, 0.024456, 0.017899, 0.041018, -0.065815, -0.07682, 0.00308, -0.050794, -0.009761, 0.088555, 0.017758, 0.004332, -0.006152, 0.018215, -0.138117, -0.0129, 0.061119, -0.11337, -0.032089, -0.000147, 0.024454, 0.000473, -0.0, -0.079072, -0.052374, -0.074301, 0.013929, 0.011188, -0.084894, -0.063347, 0.08801, -0.010746, -0.042484, 0.043246, 0.031432, -0.055611, 0.018002, 0.071804, 0.084551, -0.001868, -0.070155, -0.08351, 0.025757, -0.027065, 0.010331, 0.009028, -0.040207, -0.007238, -0.022083, 0.005793, 0.106017, 0.058989, -0.017591, -0.03287, 0.09375, 0.050669, -0.052016, -0.042781, -0.057768, 0.0551, 0.035838, -0.032168, -0.039337, -0.041813, -0.038195, -0.076802, -0.012459, 0.04088, -0.062323, -0.105163, 0.074962, 0.049473, -0.084272, 0.009617, -0.008291, 0.08077, 0.055323, 0.053391, -0.075362, 0.026666, 0.00486, 0.037238, -0.009194, -0.069627, -0.04894, 0.103498, -0.024624]</t>
  </si>
  <si>
    <t>Q4</t>
  </si>
  <si>
    <t>What are the risks associated with AI-powered shopping and payment agents?</t>
  </si>
  <si>
    <t>[-0.028698, 0.01707, -0.037848, -0.004819, 0.000439, 0.036705, 0.058973, 0.016095, -0.015614, -0.008393, 0.045763, 0.025807, 0.070898, -0.023574, 0.038817, -0.007939, 0.075284, -0.069647, -0.031637, 0.045496, 0.004007, -0.032727, -0.024803, -0.006378, -0.061798, -0.00854, 0.032802, -0.062292, -0.038843, -0.010654, 0.018077, -0.019682, 0.092634, 0.009691, 0.019457, -0.023512, 0.012484, -0.05908, 0.031317, -0.054301, 0.026441, -0.101744, -0.04774, -0.039098, 0.056898, -0.016543, 0.009666, 0.000532, -0.046122, 0.037102, -0.090541, -0.059179, 0.052287, 0.027816, -0.115571, -0.064975, 0.052025, -0.042867, 0.017938, -0.007858, 0.053793, -0.05382, 0.036479, 0.026358, 0.070151, 0.054931, -0.048085, -0.037571, -0.037425, -0.016196, 0.064649, -0.122145, -0.016891, 0.017483, 0.043341, -0.011726, 0.008586, -0.069052, 0.072012, -0.064799, -0.016976, -0.015449, -0.008684, 0.06486, -0.057485, 0.043226, 0.009704, -0.039589, 0.042548, -0.053609, 0.017532, -0.024809, 0.052915, -0.060682, 0.117288, 0.017889, -0.064467, -0.071, -0.027805, -0.030978, 0.02307, 0.056213, 0.008764, 0.01973, -0.047672, 0.016468, 0.038787, -0.0249, 0.044705, 0.005951, -0.071103, -0.021449, 0.101824, -0.050794, 0.064605, 0.060795, -0.052367, 0.096989, 0.051228, 0.026548, -0.03979, 0.022388, 0.027115, 0.026959, 0.017448, 0.037962, -0.087865, -0.0, -0.067437, 0.012377, -0.020107, -0.043827, 0.067124, -0.040866, 0.030662, 0.046601, -0.015174, 0.082947, 0.032812, 0.034255, -0.010652, 0.070809, 0.035303, 0.025372, -0.016446, 0.031221, 0.039756, 0.002837, 0.046838, -0.092118, 0.054283, 0.031215, 0.029711, 0.010071, -0.037602, 0.029614, 0.154085, -0.016328, -0.039415, 0.024929, 0.011392, 0.05112, -0.093423, 0.086154, -0.105341, 0.024917, -0.038905, 0.039044, -0.081312, 0.074156, 0.063196, 0.026678, 0.004704, 0.009607, 0.05437, -0.088144, -0.056514, 0.025772, -0.117793, 0.075805, 0.010556, -0.019023, 0.008212, -0.044361, 0.040227, -0.059509, -0.001653, -0.090153, -0.036306, -0.048824, -0.015962, 0.027545, -0.040331, 0.025839, 0.050847, -0.024889, -0.008523, 0.046939, -0.011973, 0.017037, 0.043519, -0.041327, -0.065573, 0.008205, -0.079357, -0.013087, 0.025087, -0.068075, -0.065674, -0.047486, 0.091596, 0.102462, -0.01025, 0.029262, -0.026943, -0.053766, -0.027259, 0.00113, 0.021447, 0.029643, -0.041945, 0.044162, 0.029435, 0.0, -0.090738, -0.031746, -0.106487, 0.045201, -0.044411, -0.015562, -0.084558, -0.018793, 0.112859, -0.019651, -0.052228, 0.045467, 0.003574, -0.023318, 0.055056, -0.041483, 0.063938, -0.021812, 0.055304, -0.079929, 0.088916, 0.058379, -0.034344, -0.019626, -0.004559, 0.036695, -0.05395, -0.037245, 0.012189, 0.012723, 0.028496, 0.025449, -0.024298, 0.107873, 0.000449, 0.05534, -0.045504, 0.040504, 0.014932, -0.015441, 0.064537, 0.002004, -0.039956, 0.000986, 0.00399, -0.072574, -0.026742, 0.023373, 0.079193, -0.018982, -0.062327, 0.02772, -0.000611, -0.041469, -0.131508, 0.056712, 0.117946, 0.010221, -0.009493, 0.027863, -0.061955, 0.050226, 0.030173, 0.006403, -0.061699, -0.01273, 0.022116, 0.033426, 0.132614, -0.052405, 0.092675, -0.032831, 0.020534, 0.051247, -0.059224, 0.024643, 0.004437, 0.039111, -0.020701, -0.09419, -0.036513, -0.039667, 0.088411, -0.005015, -0.017557, 0.026371, -0.033026, -0.067309, -0.037847, -0.027797, -0.071009, 0.023783, -0.050988, 0.032192, -0.103723, -0.0, 0.029003, -0.027503, 0.085961, 0.043531, 0.084483, -0.058014, -0.02026, 0.049841, -0.060736, 0.038155, 0.043629, -0.027049, 0.001707, 0.034815, 0.031695, 0.066801, 0.015186, 0.01578, -0.057922, -0.03321, 0.012573, 0.005563, -0.026299, -0.045436, -0.037637, -0.023652, 0.046202, 0.05037, -0.06314, 0.114426, -0.057661, 0.038774, 0.036728, 0.026991, 0.008087, -0.011456, 0.009466, -0.048498, -0.09456, -0.017218, 0.000893, 0.014339, -0.035606, -0.035668, 0.07574, -0.058243, -0.095051, -0.078197, 0.140879, 0.022445, -0.058618, 0.015222, 0.058364, 0.065868, 0.106219, -0.051784, 0.045989, -0.048488, 0.047454, 0.06675, 0.006642, -0.078101, 0.042701, -0.078641]</t>
  </si>
  <si>
    <t>Q5</t>
  </si>
  <si>
    <t>What challenges are Australian banks facing in mortgage lending?</t>
  </si>
  <si>
    <t>[0.019415, -0.046219, -0.065814, 0.007192, -0.019104, 0.056565, -0.07647, -0.018395, -0.071637, 0.009514, 0.022514, -0.042263, -0.048161, 0.009394, 0.020563, 0.004301, -0.055428, -0.024424, 0.007363, 0.065919, -0.004499, -0.021561, -0.069759, -0.017338, 0.023441, -0.017637, 0.039513, -0.028265, -0.034931, -0.047212, -0.004799, 0.023228, 0.007259, -0.032901, 0.049908, 0.016708, 0.029539, -0.036095, -0.043582, -0.091648, 0.045897, -0.064387, 0.0152, -0.040225, 0.002059, -0.05232, 0.086765, -0.004358, -0.05962, 0.044202, -0.076144, -0.03599, 0.024081, -0.028673, -0.00292, -0.058577, 0.001727, -0.005125, 0.006538, -0.036827, 0.059249, 0.027235, -0.059823, 0.047698, 0.067904, 0.048809, -0.063185, -0.011951, -0.00946, 0.041493, -0.048425, -0.156503, 0.011552, -0.052041, 0.071888, -0.006165, 0.055116, 0.00639, 0.02616, -0.020934, 0.055362, -0.134921, -0.057052, 0.007679, 0.024867, -0.035271, 0.031252, -0.009602, -0.00024, -0.017137, 0.070401, -0.015972, 0.07478, -0.006825, 0.03653, -0.036368, -0.051914, -0.065593, 0.004779, 0.004632, 0.043157, 0.063334, 0.022417, 0.088841, -0.016619, 0.013798, 0.019622, -0.002339, 8.5e-05, -0.014968, 0.022073, 0.063249, 0.066684, -0.035595, -0.003949, -0.060337, 0.032554, 0.000996, 0.047149, 0.035419, 0.016072, 0.063122, -0.007342, -0.024951, 0.011959, 0.081814, -0.160848, -0.0, 0.013161, 0.02994, -0.010081, -0.05435, 0.005434, 0.002668, -0.078988, 0.027604, -0.012091, 0.078847, 0.08142, -0.026971, 0.005987, -0.043116, 0.027027, -0.007708, -0.074216, 0.062439, -0.028757, 0.124164, 0.009057, 0.03514, 0.028679, 0.024783, 0.042345, -0.132034, 0.019711, -0.030482, 0.026572, -0.003149, -0.006648, -0.038462, -0.014568, 0.037787, -0.054776, 0.085105, -0.026017, -0.067968, -0.050798, 0.04271, -0.033482, -0.014437, 0.043104, 0.029379, 0.062489, 0.000871, -0.00336, -0.036487, -0.135383, 0.081055, -0.068053, -0.012667, -0.127821, 0.014378, 0.044377, 0.011215, -0.02588, -0.075852, -0.005844, -0.000308, -0.023298, -0.137622, -0.086026, -0.062175, -0.021668, 0.040687, 0.069507, 0.003379, -0.066646, 0.019359, -0.084654, -0.062596, 0.006781, 0.021804, -0.034228, -0.002497, -0.008194, 0.009824, 0.038497, 0.019222, 0.013321, 0.034679, 0.018519, 0.047087, -0.016065, 0.045288, 0.020534, -0.062159, 0.026777, -0.131233, -0.061201, -0.001473, 0.082989, -0.000805, 0.081977, 0.0, -0.06276, -0.048927, -0.099918, 0.074807, -0.064016, -0.049822, 0.060223, 0.016827, 0.06206, -0.082429, -0.062232, 0.052029, 0.010716, 0.005921, -0.046609, -0.052225, 0.047526, 0.003477, 0.117884, -0.06403, 0.073997, 0.103778, 0.051038, 0.039014, -0.0463, 0.043001, -0.08608, -0.054421, -0.051959, -0.041144, -0.014948, 0.070933, -0.021954, 0.028688, -0.09386, 0.079399, 8.4e-05, -0.015085, -0.034737, 0.114847, 0.047694, 0.036618, 0.028741, -0.027113, -0.008266, 0.022469, 0.039428, -0.009948, 0.011768, 0.051602, 0.006196, 0.000542, 0.026462, 0.056221, 0.002513, 0.021222, 0.135872, -0.046444, 0.05773, 0.114299, 0.015413, 0.093394, 0.030541, 0.025069, 0.027665, -0.048014, -0.048527, -0.035381, -0.002813, -0.026409, 0.034136, -0.053514, 0.004324, 0.078012, 0.015319, 0.090143, -0.053006, -0.042122, 0.009308, -0.001999, -0.035784, 0.043154, 0.043238, 0.086645, -0.029799, -0.004959, 0.086549, -0.024418, 0.111743, -0.069313, -0.085958, -0.015748, 0.042261, 0.045588, -0.007582, -0.0, -0.028023, -0.032913, -0.058384, -0.058366, 0.02847, -0.001064, 0.02484, 0.037353, 0.020766, 0.044568, 0.048932, 0.057725, -0.056695, 0.015148, -0.009543, 0.047301, 0.023371, 0.010347, -0.053135, 0.007119, -0.031653, 0.084646, -0.043227, 0.009429, -0.017669, 0.002866, 0.036233, 0.109818, 0.019454, 0.050768, -0.10906, 0.068992, 0.063896, -0.026505, -0.154339, 0.069714, 0.039662, 0.034267, -0.010191, -0.067998, -0.014274, -0.028374, -0.004231, -0.034473, -0.016294, -0.007144, -0.040167, 0.089841, 0.019262, -0.057891, -0.019627, 0.035165, 0.041046, 0.049745, 0.025485, -0.05206, -0.036172, -0.00516, 0.074479, -0.015013, 0.064766, -0.048903, 0.038844, -0.044212]</t>
  </si>
  <si>
    <t>Q6</t>
  </si>
  <si>
    <t>What are the latest expectations for Australian interest rates?</t>
  </si>
  <si>
    <t>[0.041851, -0.064243, -0.065782, 0.017886, 0.01519, -0.006999, -0.079316, 0.041902, -0.007634, 0.08073, 0.019146, 0.032895, -0.082336, 0.072835, 0.013468, 0.039056, -0.06914, -0.087348, 0.004939, 0.057548, -0.03622, -0.009011, -0.006145, -0.073647, 0.110233, 0.031492, 0.024509, -0.049613, -0.041125, 0.011046, -0.049301, -0.000902, 0.054784, -0.071015, 0.048589, -0.005981, 0.015528, -0.030879, -0.014326, -0.025937, 0.024951, -0.019769, 0.022601, -0.025419, -0.034103, -0.036104, 0.038456, -0.007661, -0.059122, 0.109345, -0.020019, -0.001324, 0.005292, -0.079626, 0.02743, -0.017486, -0.054649, -0.006699, 0.035534, -0.058112, -0.005185, 0.032281, -0.052018, 0.001713, 0.025938, 0.002076, -0.038874, -0.001126, -0.008017, 0.003263, -0.096394, -0.095746, -0.041685, -0.11366, -0.0062, -0.064184, 0.089054, 0.048513, 0.016488, -0.042702, 0.026333, -0.074815, -0.025212, -0.12862, 0.026735, -0.019208, 0.07941, 0.02972, 0.008384, 0.000108, 0.044863, 0.010164, -0.028767, -0.000119, 0.01378, 0.031335, -0.082592, -0.057223, -0.038551, 0.018315, 0.107259, 0.055233, 0.002512, 0.09198, -0.013188, -0.006775, 0.011292, 0.018015, 0.064219, -0.02149, -0.050449, 0.049916, -0.054342, -0.048226, -0.064933, -0.007674, 0.005755, 0.02637, 0.064042, 0.061662, 0.094367, 0.029772, -0.013353, 0.009751, 0.058802, 0.045393, -0.08804, -0.0, 0.006415, 0.010515, 0.018438, -0.062109, -0.014298, -0.009789, -0.010444, 0.043405, 0.004296, -0.026941, 0.007697, 0.027425, -0.011978, -0.042385, -0.009887, -0.078373, -0.066538, 0.07197, 0.054919, 0.0884, -0.023044, 0.052233, 0.037514, 0.006085, 0.004845, -0.062407, 0.062177, -0.010833, 0.041238, -0.007311, 0.053847, 0.061678, -0.06433, -0.07299, -0.076778, 0.072162, 0.013523, 0.048131, -0.005591, -0.004981, 0.029879, 0.030814, 0.014853, 0.025405, 0.036982, -0.02958, 0.013289, -0.079193, -0.026614, 0.022251, -0.05738, -0.055948, -0.09009, 0.057993, 0.025594, 0.020821, -0.058983, -0.019891, -0.056438, -0.018085, 0.004592, -0.027905, -0.078114, -0.066058, -0.12647, 0.065086, 0.09422, -0.030053, -0.072248, 0.079478, -0.038012, -0.018968, -0.014048, 0.0084, -0.04842, 0.010903, 0.031903, -0.014804, 0.079257, 0.009367, -0.023245, 0.003799, 0.009421, -0.04536, -0.031547, 0.021899, 0.006482, -0.028913, 0.069169, -0.078309, -0.029339, -0.058344, 0.059904, 0.05393, 0.045981, 0.0, 0.01247, -0.005408, -0.019551, 0.150233, -0.089295, -0.051654, 0.092781, 0.051742, 0.060014, -0.027223, -0.05575, 0.125829, 0.067986, 0.05497, 0.024049, -0.021999, 0.08931, 0.00587, 0.112441, -0.0351, -0.014155, 0.048052, -0.002971, 0.051707, 0.000495, 0.045515, -0.031115, -0.08211, -0.104104, -0.101409, -0.08705, 0.017745, -0.004164, 0.029721, -0.08971, 0.014555, -0.001606, -0.007836, -0.048439, 0.096636, 0.078062, 0.050833, -0.010569, -0.018808, -0.021594, -0.015485, 0.035797, 0.136971, 0.013268, 0.044634, -0.015597, 0.009701, -0.062235, 0.026988, -0.057475, -0.006233, 0.054326, -0.026223, -0.053, 0.075138, 0.002412, 0.139028, -0.010411, 4e-06, 0.029539, -0.043796, -0.006202, -0.055693, 0.087018, -0.036118, 0.07928, -0.051239, -0.088647, 0.041218, 0.026324, 0.093801, 0.043655, -0.046647, 0.041659, 0.018877, -0.038645, 0.078824, -0.005891, 0.005019, -0.054526, -0.002456, 0.070257, -0.074369, 0.016044, -0.052179, -0.086966, -0.010564, 0.041815, 0.068569, -0.048659, -0.0, -0.02995, 0.014295, -0.084445, -0.00176, 0.004367, 0.011194, 0.002129, 0.028764, 0.013208, -0.008427, 0.127545, -0.00679, -0.037554, -0.034865, 0.033367, 0.008528, -0.02958, 0.052272, -0.035205, -0.048205, -0.030259, 0.116698, 0.031192, -0.072174, -0.02462, 0.035733, 0.003416, 0.097955, -0.061407, 0.057089, -0.107613, 0.03057, 0.053475, -0.060013, -0.074826, 0.035765, 0.059969, 0.021349, 0.05975, -0.021479, 0.06427, -0.069352, -0.061033, -0.035699, -0.032037, 0.007571, 0.01075, -0.016577, 0.027328, -0.059838, 0.007817, 0.013962, -0.029294, 0.022689, 0.04012, -0.00908, -0.064645, -0.004515, -0.036556, -0.016689, 0.024021, -0.076919, -0.058577, 0.02032]</t>
  </si>
  <si>
    <t>Q7</t>
  </si>
  <si>
    <t>What is CBA doing to expand investment opportunities for retail customers?</t>
  </si>
  <si>
    <t>[0.025654, 0.024019, -0.034065, -0.028773, -0.042246, 0.059559, 0.015746, 0.012557, -0.006247, -0.067588, 0.01317, 0.031538, 0.001681, -0.026768, 0.073808, 0.038509, 0.090275, -0.063887, -0.037216, -0.022519, -0.072962, 0.013918, -0.02418, 0.055312, -0.09266, -0.014284, 0.060779, -0.015799, -0.006902, -0.033645, -0.00629, 0.118365, 0.102176, 0.006123, 0.009447, 0.019028, 0.035058, 0.025648, 0.058286, 0.003117, -0.012223, -0.027047, -0.100145, 0.032287, 0.0717, -0.087969, 0.040475, 0.030898, 0.034744, -0.000926, 0.038231, 0.011762, 0.02676, 0.017986, -0.062961, 0.015439, -0.062126, 0.016142, 0.092502, 0.06475, -0.033882, 0.001106, 0.045385, 0.067185, 0.081584, -0.068993, -0.134785, 0.012183, -0.079733, -0.104615, 0.005946, -0.100056, -0.072474, -0.034547, 0.022684, 0.026733, -0.009194, 0.072232, 0.06892, -0.012437, 0.021352, 0.008684, -0.024937, 0.017895, -0.056087, -0.010737, 0.01454, -0.082828, -0.022727, 0.052824, 0.064482, 0.024584, -0.050396, -0.034078, -0.095399, -0.045326, -0.034806, -0.086081, 0.04726, 0.020754, 0.077428, 0.000506, 0.048645, -0.047925, -0.119483, -0.080902, 0.03171, 0.057417, 0.047036, 0.043564, -0.038084, 0.015824, -0.015991, -0.017618, -0.014346, -0.003161, -0.041262, 0.045515, 0.071793, 0.018553, 0.016036, 0.084068, -0.012587, -0.057127, -0.037825, -0.024675, -0.068251, -0.0, -0.051425, 0.054187, -0.014264, 0.043288, -0.007097, -0.032388, 0.003331, -0.039226, -0.01144, -0.008616, 0.017137, 0.13839, 0.020942, 0.014892, 0.048504, 0.036109, -0.127813, 0.079648, 0.085826, -0.041712, -0.00697, -0.009844, 0.04413, 0.036582, 0.035372, 0.018043, 0.055449, -0.009822, 0.089273, 0.014133, 0.110081, 0.061445, -0.027164, -0.004708, -0.049326, 0.066567, 0.030198, -0.047094, -0.006244, 0.002931, -0.099586, -0.012238, -0.013368, 0.007498, -0.007096, 0.024672, -0.044183, -0.015243, -0.047462, 0.090983, -0.023932, -0.05612, -0.043007, 0.031226, 0.020215, -0.043866, 0.000429, -0.11169, 0.027259, -0.04216, 0.010195, 0.009515, -0.096815, 0.038736, -0.102525, -0.019117, -0.006023, -0.020428, 0.014475, -0.019954, 0.017995, 0.039325, 0.080694, -0.017629, -0.00994, -0.073648, -0.132898, 0.06798, 0.089986, 0.055242, 0.049471, -0.020763, 0.096791, -0.027186, 0.021788, -0.026988, 0.070627, -0.038319, -0.05884, -0.048916, -0.060682, 0.062567, -0.043927, 0.141849, 0.096831, 0.0, 0.035524, 0.024448, 0.042869, -0.0044, 0.00322, -0.039172, -0.012876, -0.061544, 0.010545, -0.038498, -0.098259, 0.01828, 0.023365, 0.085502, -0.046814, -0.046637, 0.054394, -0.00187, 0.01481, -0.059022, 0.053699, -0.057172, -0.049085, 0.02069, 0.008027, 0.007547, -0.101186, 0.018816, -0.016491, -0.044546, -0.053487, 0.026176, -0.009114, 0.074423, -0.060444, -0.003996, -0.009989, -0.000259, -0.014174, -0.000563, 0.012188, -0.028629, 0.010141, -0.00953, -0.010101, 0.005873, 0.12269, 0.014698, 0.071924, 0.002843, 0.013665, 0.019825, 0.008905, -0.006733, -0.036231, 0.076944, 0.072296, -0.029561, -0.044461, 0.027852, 0.096318, 0.112817, 0.048933, -0.006669, -0.001511, -0.030961, 0.054921, -0.0386, 0.001923, -0.074856, 0.105399, -0.008201, -0.008563, -0.039807, -0.080371, 0.008709, 0.016048, -0.088247, -0.068847, -0.006249, -0.107175, -0.021185, 0.06799, 0.024183, 0.024281, 0.008719, -0.013226, -0.074992, -0.028994, 0.044042, -0.123236, 0.01657, -0.00757, 0.006825, -0.034755, -0.0, -0.073861, -0.049541, -0.019478, -0.033516, 0.050499, -0.078572, -0.024264, 0.069933, 0.05424, -0.048838, 0.008013, 0.008796, -0.073324, 0.088802, 0.077305, 0.0779, 0.052408, -0.011539, -0.013119, 0.032581, 0.014246, 0.020145, 0.065063, -0.055242, -0.005328, 0.001881, -0.074702, 0.078146, 0.004464, -0.015758, 0.010838, 0.040577, 0.067829, -0.055377, -0.031013, -0.028907, 0.042809, 0.045894, -0.025497, -0.034604, -0.07391, -0.053905, -0.007297, -0.025283, -0.007324, -0.045441, -0.120572, 0.042922, 0.039226, -0.015553, 0.022335, -0.05466, 0.026758, -0.0215, 0.026436, -0.003234, -0.026204, 0.014136, -0.012962, -0.012647, -0.06203, -0.077221, 0.020527, 0.037632]</t>
  </si>
  <si>
    <t>Q8</t>
  </si>
  <si>
    <t>How is AI affecting employment at Commonwealth Bank?</t>
  </si>
  <si>
    <t>[0.02477, -0.008563, -0.002138, 0.022444, 0.044938, 0.046775, 0.055493, -0.043085, -0.020578, -0.005761, -0.024309, 0.051332, -0.057956, -0.0107, 0.011445, 0.04914, -0.02057, -0.02902, -0.060139, -0.05033, 0.009973, -0.079812, -0.081262, -0.065134, -0.038668, -0.014324, 0.064502, 0.000721, 0.005075, -0.0379, -0.057749, 0.042347, 0.05788, -0.010037, 0.044062, -0.031473, 0.010249, 0.080995, 0.059104, -0.082869, 0.044001, -0.088792, -0.009659, -0.056807, 0.111278, 0.061933, 0.041955, 0.012235, -0.051877, 0.077021, -0.074805, -0.018039, 0.087682, -0.027609, -0.051543, -0.022817, 0.037848, 0.011268, 0.055987, -0.024024, 0.020797, 0.002822, 0.017026, 0.040968, 0.165113, 0.001091, -0.086399, -0.024397, -0.053853, -0.056909, 0.019753, -0.131297, -0.090152, -0.032021, 0.004491, 0.02209, -0.024006, 0.0333, 0.106723, -0.031177, 0.024842, -0.055324, -0.010653, 0.04962, -0.012548, -0.026473, 0.055696, -0.079174, 0.017776, 0.012593, 0.074263, -0.068578, 0.057471, -0.013805, 0.11885, -0.04533, -0.034357, 0.015273, 0.035308, 0.022493, 0.058838, 0.061692, -0.042336, 0.106958, -0.020907, 0.04982, 0.06404, -0.01881, 0.083338, -0.021775, -0.054543, 0.062698, 0.018075, -0.034061, 0.028297, 0.022337, -0.004872, 0.129362, -0.015691, 0.08172, 0.001577, 0.031642, -0.048487, 0.024072, -0.043719, 0.034575, -0.11674, -0.0, -0.062329, -0.004152, 0.008287, -0.039794, 0.062935, -0.110645, -0.04311, -0.006607, -0.000419, 0.041755, -0.071938, 0.037582, 0.050791, 0.003868, 0.02336, 0.029093, 0.017236, 0.05358, 0.021346, 0.094617, 0.03523, -0.062566, -0.031154, -0.001704, 0.017122, 0.005927, -0.018547, -0.019198, 0.067296, 0.009966, 0.017152, 0.031494, -0.071959, 0.05007, -0.019014, 0.038742, -0.049008, -0.00068, 0.024073, 0.047214, -0.021338, 0.019214, 0.110339, -0.008072, -0.029236, 0.045604, -0.006911, -0.05326, -0.016939, 0.124668, -0.036313, 0.014972, -0.079001, -0.056272, 0.052495, -0.022953, -0.037965, 0.002626, 0.037377, -0.027468, 0.032741, -0.055646, -0.110187, 0.052454, -0.027572, 0.080972, 0.053837, -0.00321, 0.036856, -0.013256, -0.007494, 0.059784, 0.012072, -0.017096, -0.098603, 0.051019, -0.054692, 0.001661, -0.004471, 0.015081, 0.000982, 0.039057, 0.015846, -0.074363, 0.017366, -0.024186, 0.006623, -0.064402, 0.037697, -0.040425, 0.001027, -0.026207, -0.030657, 0.124193, -0.02506, 0.0, -0.08752, -0.0273, -0.048769, 0.00705, -0.066536, -0.005848, 0.084678, -0.012819, 0.026385, 0.043945, -0.031461, -0.017749, -0.008437, 0.058904, -0.009452, 0.000804, 0.053858, 0.034148, 0.043455, -0.022987, 0.027074, 0.049793, 0.032356, 0.01817, 0.002825, 0.081175, -0.091948, -0.059037, -0.003575, -0.036566, -0.035605, 0.046568, -0.090186, 0.093254, -0.035102, -0.025945, -0.007429, -0.077104, 0.019336, 0.033376, -0.005139, -0.016061, -0.076438, -0.027752, 0.022148, -0.005632, 0.068615, 0.057031, 0.081295, -0.04595, 0.049399, 0.033018, -0.012585, 0.041824, -0.086729, 0.010988, 0.113063, -0.034616, -0.08128, 0.053472, -0.014279, 0.033671, 0.030622, -0.034661, 0.004595, 0.012334, 0.019615, 0.032767, 0.068379, -0.114734, 0.034279, -0.065033, -0.010855, 0.053028, -0.03073, 0.019804, 0.023024, -0.083422, -0.058232, -0.023676, -0.075668, -0.020821, -0.000561, 0.045255, -0.038348, 0.022323, 0.037266, -0.057904, -0.026099, -0.004026, -0.048054, -0.054236, -0.018409, 0.024911, -0.083944, -0.0, 0.002102, -0.033742, 0.042945, -0.007577, 0.01487, -0.068663, -0.037188, 0.022319, -0.01334, -0.023974, 0.002006, -0.034, -0.047548, -0.034997, 0.086649, 0.073444, 0.005747, -0.052233, -0.022182, -0.040368, 0.060951, 0.044702, -0.023925, -0.014745, -0.054326, -0.041487, 0.073201, 0.074185, -0.009245, 0.037361, -0.095469, 0.101008, 0.058359, -0.035358, -0.047827, -0.011362, 0.094096, -0.067565, -0.056935, -0.060106, -0.011293, 0.012917, -0.026605, -0.031558, 0.08456, -0.053513, -0.068414, -0.024917, 0.02919, -0.103441, 0.018895, 0.027605, 0.056451, 0.133963, 0.105403, -0.051301, -0.037382, -0.061769, -0.012991, 0.047519, 0.052002, -0.028364, 0.062173, -0.110042]</t>
  </si>
  <si>
    <t>Q9</t>
  </si>
  <si>
    <t>What is CBA's latest dividend payout ratio?</t>
  </si>
  <si>
    <t>[-0.033144, -0.011279, -0.099342, 0.010818, -0.029386, 0.020072, -0.036055, 0.013872, 0.020006, -0.022177, -0.018113, 0.006081, -0.028319, 0.023887, -0.03497, 0.037987, 0.055973, -0.048632, 0.013259, -0.021411, -0.069522, 0.0279, 0.003825, 0.028189, 0.123177, -0.024226, -0.001834, -0.063945, 0.005196, -0.023495, 0.026657, 0.144076, 0.11711, -0.046467, -0.081021, -0.022245, 0.020141, -0.05314, 0.097303, 0.032361, -0.013065, 0.042404, -0.020027, -0.016651, -0.034542, -0.03846, 0.001523, 0.018838, 0.063395, 0.092738, 0.019427, 0.022651, -0.020332, 0.107858, 0.025738, 0.006647, -0.073752, 0.024142, 0.079476, 0.049363, -0.036911, 0.020291, 0.02293, 0.056124, 0.096313, -0.043009, -0.024252, -0.044704, -0.052026, -0.09221, -0.015525, 0.00997, -0.056462, -0.146472, 0.006748, 0.104037, 0.028722, 0.072241, 0.000277, -0.067343, -0.055645, 0.031705, 0.015706, -0.014833, -0.01265, -0.043685, 0.057093, 0.023097, 0.046118, 0.029871, 0.019358, 0.064363, 0.009472, -0.05678, -0.083136, 0.005623, -0.062844, -0.061963, -0.028409, -0.023989, 0.081342, 0.115204, -0.032744, -0.088528, -0.015117, -0.007756, 0.063886, 0.062394, 0.076099, 0.034838, 0.00231, 0.043387, 0.003968, -0.047547, -0.0543, -0.044058, -0.032843, 0.008276, 0.13537, 0.013505, 0.090627, 0.074897, -0.07099, -0.020311, 0.002922, -0.051855, -0.054663, -0.0, 0.087881, 0.025791, 0.051642, 0.037931, -0.00245, -0.053844, 0.011986, 0.009161, 0.023054, -0.012657, -0.096594, 0.031816, 0.013232, -0.072233, 0.015906, -0.074772, -0.106326, 0.04761, 0.068619, 0.026509, 0.006641, 0.005699, 0.013893, -0.006077, 0.093001, 0.008629, -0.030912, -0.021861, 0.011602, 0.02173, 0.030042, 0.08394, -0.067211, -0.066663, -0.078499, -0.001265, -0.014557, 0.093063, 0.014549, -0.00494, -0.042733, -0.019826, -0.066705, -0.03667, -0.028212, -0.036731, 0.00643, -0.027657, 0.024411, 0.016708, -0.057049, -0.036756, 0.007146, -0.010917, 0.032469, -0.034134, 0.030027, -0.032678, -0.004432, 0.050726, 0.008619, 0.092504, -0.088328, -0.011421, -0.134383, 0.001484, -0.078487, -0.007808, -0.072123, 0.037164, 0.013572, 0.020719, 0.050572, 0.0251, -0.031516, -0.089682, -0.008105, 0.012205, 0.081671, 0.067336, -0.027521, 0.040068, 0.068207, -0.04114, -0.002482, -0.006099, 0.054869, 0.030017, -0.018494, -0.042143, -0.002917, -0.096958, 0.072691, -0.020717, 0.05963, 0.0, 0.020808, 0.027888, 0.00348, -0.006174, -0.007822, -0.080738, 0.06271, 0.109827, 0.03929, 0.050761, -0.00382, 0.046699, 0.025245, 0.104448, -0.013557, -0.020078, 0.008972, -0.03684, -0.011535, -0.061075, 0.05475, -0.045954, -0.021693, 0.06173, 0.026963, 0.000761, -0.013602, 0.004264, 0.017282, 0.007024, -0.052387, -0.05834, -0.080279, 0.028192, -0.001776, -0.024955, -0.082283, 0.036426, 0.045172, 0.019839, 0.027946, -0.025387, -0.020049, 0.040338, 0.063076, -0.005974, 0.081059, 0.009424, 0.05427, 0.044557, 0.00912, 0.036311, -0.025338, 0.076153, 0.029236, 0.071544, -0.043663, 0.018476, -0.018558, -0.004273, 0.074132, 0.122504, -0.004484, 0.014845, -0.034045, 0.076986, -0.027423, 0.0809, -0.001049, 0.018848, 0.112336, -0.031752, 0.087979, -0.01519, -0.012322, 0.063329, 0.03311, -0.030725, -0.033496, 0.052501, -0.032207, 0.005967, 0.031457, 0.042991, -0.026215, 0.011799, 0.066592, -0.056156, -0.008021, 0.022042, -0.126647, -0.072653, 0.038185, 0.075946, 0.038321, -0.0, -0.076325, -0.032306, -0.08853, -0.054022, 0.085419, -0.002901, -0.0079, -0.032889, -0.014797, -0.045113, 0.060993, 0.013308, -0.077085, 0.016832, -0.027245, -0.002899, -0.019482, -0.011864, -0.004932, -0.041954, 0.017768, 0.002514, 0.05696, -0.043919, -0.044407, 0.00709, -0.095663, 0.023408, -0.04646, -0.046815, 0.033935, 0.086469, -0.046362, -0.104522, 0.006175, -0.009899, 0.021548, 0.052932, 0.031754, 0.016624, -0.024083, -0.102282, -0.057906, -0.025085, -0.002043, -0.001311, -0.116314, 0.008689, -0.017273, -0.157762, 0.035377, 0.008546, -0.028814, 0.030088, 0.061717, -0.039411, -0.071393, 0.015604, -0.049764, -0.057335, -0.044506, -0.084736, 0.033884, 0.028785]</t>
  </si>
  <si>
    <t>Q10</t>
  </si>
  <si>
    <t>What was CBA's exact net profit for FY2025?</t>
  </si>
  <si>
    <t>[0.016897, 0.043659, -0.065378, -0.010929, 0.009073, 0.012767, -0.001787, 0.075913, -0.047362, 0.018512, -0.020736, -0.033349, 0.064953, -0.000298, 4.6e-05, 0.013451, 0.001353, -0.077728, -0.043142, -0.055531, 0.010221, 0.041029, 0.004218, -0.025799, 0.061186, -0.09001, -0.043268, -0.024927, -0.010259, -0.005128, -0.025465, 0.114908, 0.037798, 0.036204, -0.012211, -0.060551, -0.029413, -0.001639, 0.065723, -0.003481, -0.028122, 0.001822, -0.039071, -0.013672, -0.024546, -0.012723, 0.018273, 0.05267, 0.08584, 0.074188, 0.057323, 0.04423, -0.020379, -0.000287, 0.076562, -0.001471, -0.055034, 0.016315, -0.000602, 0.026255, -0.025036, -0.041358, -0.009042, -0.00252, 0.085417, -0.025209, -0.126157, -0.079882, -0.042862, -0.106927, 0.039889, -0.091425, -0.030446, -0.120771, -0.007899, 0.015132, 0.071516, 0.104057, -0.015524, -0.060157, 0.031607, 0.014175, 0.029856, -0.013076, 0.024448, -0.014016, 0.040176, 0.031467, 0.090603, 0.057826, 0.040401, -0.004962, -0.028554, -0.016822, -0.077032, -0.018594, -0.024484, -0.043566, 0.01993, 0.071361, 0.048593, 0.006794, -0.01356, -0.086686, -0.081886, -0.002086, 0.096217, 0.107048, 0.045489, 0.007238, 0.006655, 0.037522, -0.016393, -0.005304, -0.032426, 0.014267, -0.045427, 0.024659, 0.124761, -0.077531, 0.058848, 0.058378, -0.029521, 0.001043, -0.181147, 0.031258, -0.069327, -0.0, -0.032014, 0.028972, 0.014155, -0.027181, 0.019653, -0.002088, 0.014356, 0.022275, 0.035885, 0.009983, -0.071394, 0.043471, 0.026893, -0.039733, 0.06989, -0.063112, -0.171354, 0.004137, 0.064577, 0.004381, 0.045523, -0.041073, 0.045184, -0.003575, 0.028047, 0.045668, -0.038611, -0.036181, 0.048846, 0.048003, -0.012165, 0.020409, 0.002261, -0.01485, -0.038912, -0.001209, 0.024298, 0.008509, -0.040712, 0.006672, -0.04683, 0.044373, -0.037029, -0.059567, -0.100925, 0.024155, -0.06647, 0.07209, 0.001461, 0.093714, -0.064489, -0.039973, -0.072333, -0.035975, 0.02043, -0.036397, 0.015548, 0.014072, -0.00905, 0.054686, 0.017349, 0.081222, -0.010409, -0.0043, -0.13927, 0.084662, 0.020293, -0.015199, 0.056022, -0.045167, 0.009071, 0.049375, 0.073115, -0.050335, 0.057234, -0.033064, 0.003438, -0.042559, 0.114326, 0.052004, 0.043996, 0.024187, 0.037034, -0.070677, 0.006788, 0.017732, 0.003649, 0.017262, -0.047738, 0.001505, 0.001253, -0.066008, -0.004459, 0.051913, 0.03721, 0.0, 0.00249, 0.075512, 0.029529, -0.073603, 0.030653, -0.093685, 0.021066, -0.041102, -0.00086, 0.034282, 0.016184, 0.046189, -0.029789, 0.131755, -0.018627, -0.008252, 0.01564, -0.059525, -0.011546, -0.07966, -0.00459, 0.045352, 0.011376, 0.0757, -0.016584, 0.100014, -0.040684, 0.0185, 0.035772, 0.037394, -0.003643, 0.031725, -0.038648, 0.02279, -0.051538, 0.028771, 0.055282, 0.02188, 0.011302, -0.077101, 0.016839, 0.039931, -0.026517, 0.034319, 0.016463, 0.022299, 0.005965, -0.056885, 0.119348, 0.020685, -0.000132, 0.013002, -0.074192, 0.007155, -0.123949, 0.07515, 0.070205, 0.044504, -0.059012, -0.036647, 0.032467, 0.051867, -0.013011, 0.061706, -0.000154, 0.039453, 0.016723, 0.007269, 0.039876, -0.023209, 0.046783, 0.011829, 0.033959, -0.01859, -0.016842, 0.109771, 0.024802, 0.021868, -0.034873, 0.045811, -0.039313, 0.001793, 0.007198, 0.009642, -0.036929, -0.071932, -0.009198, -0.062339, -0.022877, 0.106623, -0.132256, -0.056633, 0.029152, 0.02937, 0.039515, -0.0, -0.063766, 0.033767, -0.087598, 0.023954, 0.025732, -0.014688, -0.024583, 0.051157, 0.032116, -0.002654, -0.03414, 0.037852, -0.052474, 0.089702, -0.09477, 0.024619, -0.091689, 0.058603, -0.000598, -0.048527, 0.054228, 0.010843, -0.02199, -0.034664, -0.061908, -0.04932, -0.033772, 0.076655, 0.02855, -0.046406, -0.032989, 0.054755, -0.042176, -0.049423, -0.008278, -0.00017, -0.027446, -0.000605, -0.006788, -0.016837, -0.045782, -0.053314, -0.023545, -0.028496, 0.077626, -0.030467, -0.132761, -0.007502, 0.032203, -0.185529, 0.076676, 0.029995, -0.030367, 0.033065, 0.044423, -0.024128, -0.062038, 0.004515, -0.020331, -0.025739, -0.10768, -0.065378, 0.061887, -0.024532]</t>
  </si>
  <si>
    <t>Q11</t>
  </si>
  <si>
    <t>Has CBA faced any recent regulatory action or penalties from ASIC, APRA or AUSTRAC?</t>
  </si>
  <si>
    <t>[0.008639, -0.002357, -0.090825, 0.027734, -0.005682, 0.064549, -0.009159, 0.024236, -0.009081, 0.020725, 0.059552, 0.019526, 0.003137, 0.057237, 0.027932, 0.052475, 0.059858, -0.06207, -0.082244, 0.015246, -0.05233, 0.075043, -0.0092, 0.064242, 0.004808, -0.051094, -0.00271, -0.04822, -0.010561, -0.092378, -0.067812, 0.099254, 0.046942, -0.016192, 0.101434, -0.051308, 0.038422, -0.029141, 0.040244, -0.03661, 0.071519, -0.003095, -0.02299, 0.040278, 0.020678, -0.064828, 0.049609, -0.041651, -0.003847, 0.039309, 0.004345, -0.005043, 0.08113, 0.024142, -0.062006, -0.084757, -0.05714, 0.006875, 0.050804, 0.039464, -0.00041, 0.004391, -0.038926, 0.01612, 0.050822, 0.013301, -0.129815, -0.112101, 0.087372, 0.008873, -0.0138, -0.135996, 0.007606, -0.01665, 0.060598, 0.090268, -0.02373, 0.12727, 0.036494, -0.088923, 0.039698, -0.01693, 0.027885, -0.028361, 0.047485, -0.06187, -0.012143, -0.004631, -0.025815, 0.014653, 0.103797, 0.015749, 0.191729, -0.028064, -0.016912, -0.089457, 0.041877, -0.065741, 0.007421, -0.013264, 0.038056, 0.061849, -0.097286, 0.04817, -0.032432, 0.007553, 0.004963, -0.003456, 0.080177, 0.029613, -0.014133, 0.062089, -0.015297, -0.034873, -0.069694, 0.070224, 5.9e-05, 0.032549, 0.079762, -0.01967, -0.012182, 0.032716, -0.014125, -0.020921, 0.071314, 0.008927, -0.114813, -0.0, -0.011355, 0.032097, -0.036657, -0.053606, -0.043184, -0.057678, -0.019094, -0.016831, 0.062185, -0.03545, -0.016223, 0.058613, 0.071434, -0.043451, 0.029145, -0.00273, -0.05056, 0.018063, 0.042645, 0.055482, 0.02445, -0.030518, 0.020437, 0.027664, -0.008464, 0.01586, 0.01737, -0.033878, 0.064832, 0.007413, -0.037943, 0.09177, 0.044573, 0.025533, -0.019467, 0.073159, 0.024503, 0.048197, -0.020909, 0.055876, -0.04153, 0.038509, -0.036021, -0.017708, 0.036654, -0.086617, -0.134554, -0.039793, -0.000161, 0.040643, -0.050941, 0.004352, -0.030051, 0.005001, 0.020372, -0.003766, -0.036873, 0.004217, 0.075435, -0.018629, 0.070342, 0.029838, -0.105268, -0.002723, -0.133866, -0.012324, -0.020118, -0.000842, -0.081831, -0.027691, 0.003408, 0.043563, 0.026442, 0.020445, -0.041624, -0.066286, -0.054451, 0.026113, 0.035299, -0.034141, -0.000101, 0.029713, 0.073009, -0.035826, 0.013343, -0.011833, 0.037217, 0.012041, -0.027051, -0.064184, -0.028053, -0.026197, -0.006993, 0.09159, 0.095528, -0.0, -0.014387, -0.006269, -0.036006, -0.046699, -0.021749, -0.082066, 0.051079, 0.011258, 0.027513, -0.051445, -0.010968, 0.027569, -0.001121, 0.067563, 0.036949, -0.02245, 0.018414, 0.010645, 0.007938, -0.021032, 0.051055, -0.085707, 0.036324, 0.016355, -0.091985, 0.01988, -0.013323, -0.048756, -0.012033, -0.022933, -0.000559, 0.10883, -0.069944, 0.079805, -0.082321, -0.048301, -0.044508, -0.003996, -0.104757, -0.035051, -0.00288, 0.054281, -0.052853, 0.036653, 0.040642, -0.01801, 0.049096, -0.022541, 0.025962, -0.027259, 0.061937, -0.037361, 0.010489, -0.007322, 0.00058, 0.055738, 0.117854, -0.050315, -0.043434, 0.005875, 0.083624, 0.113339, -0.005455, -0.086582, 0.089216, 0.056221, -0.004588, -0.026219, 0.056154, 0.012048, 0.080632, -0.078597, -0.107393, 0.049557, 0.043993, 0.029395, -0.019668, -0.035673, -0.035437, 0.043917, -0.058179, 0.011111, 0.051116, 0.04606, 0.028785, 0.047061, -0.022848, -0.113367, 0.02974, 0.083836, -0.02774, -0.060747, 0.05532, 0.022325, -0.005538, -0.0, -0.059715, 0.00744, -0.038923, 0.027111, -0.010517, -0.043378, -0.083426, 0.031568, 0.01005, -0.049373, 0.018572, 0.032643, -0.053924, -0.020281, -0.000931, 0.053696, 0.039661, 0.054741, -0.004852, -0.007119, -0.065713, 0.042334, 0.032216, -0.02337, -0.060857, -0.005119, -0.023312, 0.107503, 0.024577, -0.011121, -0.058295, 0.033747, 0.060525, -0.083202, -0.10384, -0.12929, 0.09365, -0.003962, -0.01271, -0.009599, -0.012173, -0.039969, -0.020576, 0.018215, 0.047442, -0.013995, -0.104273, -0.006463, 0.04033, -0.089312, 0.014459, -0.070544, -0.002083, 0.030545, 0.028768, -0.00153, -0.03707, -0.025376, -0.026874, -0.04797, -0.042824, -0.081234, 0.047816, -0.002265]</t>
  </si>
  <si>
    <t>Q12</t>
  </si>
  <si>
    <t>What are CBA's climate commitments, such as net-zero targets or limits on fossil-fuel lending?</t>
  </si>
  <si>
    <t>[0.00898, 0.024861, 0.010058, 0.044654, 0.006489, 0.040935, -0.060041, 0.002, 0.001688, -0.029866, -0.041095, -0.0885, -0.001953, 0.010268, -0.007306, 0.055144, -0.007582, -0.071726, -0.001786, 0.012929, 0.059746, 0.053721, 0.010112, 0.015851, -0.007229, -0.039904, 0.026151, -0.070067, -0.034922, 0.116113, -0.020596, 0.121615, 0.001559, 0.026207, 0.095155, 0.061777, 0.03517, 0.01374, -0.01757, 0.090427, 0.036122, -0.03878, -0.011576, 0.022405, -0.005853, -0.017945, 0.058197, -0.044365, -0.062043, -0.027208, 0.061369, -0.013553, -0.046237, 0.033358, 0.008788, -0.059948, -0.024862, 0.065966, 0.038332, 0.039431, 0.054485, -0.03491, -0.042805, 0.008482, 0.178642, 0.025135, -0.038565, 0.025772, -0.058431, -0.0095, 0.003922, -0.062517, -0.086726, -0.101309, 0.03378, -0.000839, -0.040768, 0.131241, 0.120423, -0.077915, -0.009553, -0.049597, 0.005486, -0.116098, -0.049698, 0.035398, 0.019612, 0.005793, 0.10015, 0.075167, -0.031344, -0.029049, 0.075454, -0.013685, -0.095818, 0.054672, 0.021669, -0.048157, -0.019682, -0.038588, 0.070255, -0.015477, -0.005318, 0.001172, -0.053429, -0.040042, -0.009986, -0.010854, 0.051044, 0.045537, -0.035447, 0.005313, 0.053669, -0.028265, -0.027941, -0.025051, -0.007349, -0.028747, 0.056268, -0.022831, -0.090173, 0.0156, 0.005321, -0.00657, -0.038981, -0.025298, -0.113718, -0.0, 0.09248, 0.017583, 0.019532, -0.051798, -0.024446, -0.003616, -0.069131, -0.018505, -0.015078, 0.045651, 0.027521, 0.090311, 0.012306, 0.03545, 0.052676, -0.024705, -0.123969, 0.058768, 0.047177, 0.023846, -0.036749, 0.032448, 0.023087, 0.011193, 0.069949, -0.092011, 0.012286, -0.025638, 0.005886, -0.002162, 0.01151, 0.075594, 0.002469, -0.044336, 0.005567, -0.017808, -0.019456, 0.027054, -0.050865, 0.026188, -0.00589, 0.004728, 0.027172, -0.019219, 0.045756, -0.018729, 0.041627, 0.035861, -0.058129, 0.026578, -0.064557, 0.046696, -0.080743, -0.061746, -0.02454, -0.082783, -0.015249, -0.025788, -0.058995, -0.090856, -0.032791, -0.073283, -0.066259, -0.032705, -0.02939, 0.100652, -0.095889, -0.007205, -0.003096, -0.045247, 0.01107, -0.030595, -0.000672, 0.042701, -0.021258, -0.047431, 0.008078, 0.016541, 0.006043, 0.090667, -0.018652, 0.010316, 0.041852, -0.039581, -0.03011, -0.096149, 0.006752, 0.001743, 0.005753, -0.096257, -0.021946, -0.039309, -0.003143, 0.0378, 0.076385, 0.0, 0.014508, 0.030825, -0.010571, -0.029731, 0.037347, -0.058953, -0.010169, -0.09414, 0.085457, -0.039017, -0.052592, 0.042539, 0.044785, 0.078616, -0.045762, -0.071427, -0.006306, 0.002351, -0.023499, -0.081232, 0.013656, -0.074402, -0.034061, 0.057994, -0.061363, 0.045608, -0.038925, -0.015184, 0.027767, -0.017405, 0.001909, 0.110826, -0.10885, 0.024763, -0.076289, -0.012355, -0.024079, 0.020377, -0.01683, -0.039097, 0.065121, -0.049745, -0.011587, -0.022268, 0.029495, -0.01215, 0.05469, -0.002695, 0.030938, 0.04294, 0.084201, 0.064524, -0.025093, 0.063461, 0.046271, -0.010399, 0.064711, -0.01512, 0.067951, -0.040018, 0.075815, 0.113616, 0.058668, 0.046448, -0.035452, 0.023326, -0.029905, 0.006552, 0.050212, 0.013903, 0.085609, -0.02625, -0.028224, -0.032337, -0.025678, 0.014735, -0.013081, -0.025031, -0.029378, 0.021676, -0.066063, 0.050483, 0.035349, 0.004185, 0.128902, -0.038947, 0.015401, -0.131558, 0.01916, 0.141358, -0.093617, -0.031636, -0.025727, 0.12374, -0.053582, -0.0, -0.044648, 0.009877, -0.036859, 0.003117, 0.057254, -0.014503, -0.018225, -0.023426, 0.038247, 0.039239, 0.080202, 0.09399, -0.035759, 0.048216, 0.004429, 0.018138, -0.000361, -0.059715, -0.027288, 0.005462, -0.005928, -0.02056, -0.056926, -0.022439, 0.033786, -0.012664, 0.011706, 0.177764, 0.0979, 0.0693, 0.022236, 0.048756, 0.014148, -0.120589, -0.048004, -0.019587, 0.026343, 0.094253, -0.042195, -0.019115, -0.007283, 0.02356, -0.02776, 0.007385, 0.014592, -0.056697, -0.126204, 0.063977, 0.053821, -0.032874, 0.016142, -0.023666, -0.019481, 0.040517, 0.0214, -0.017715, -0.038468, 0.05058, -0.012915, -0.032081, -0.049959, -0.044869, -0.011886, -0.008744]</t>
  </si>
  <si>
    <t>[-0.040755, 0.033262, -0.075563, -0.063563, -0.049415, 0.026127, 0.043562, 0.028238, 0.034704, -0.058094, -0.031024, 0.016438, 0.018787, -0.039545, 0.045167, -0.001979, 0.106778, -0.047567, 0.060009, -0.031801, -0.114634, -0.031739, -0.005525, 0.01998, 0.029901, -0.052703, -0.015831, -0.011049, -0.038559, -0.046675, 0.011191, 0.102384, 0.032455, -0.016134, -0.038787, -0.018618, -0.006454, -0.011828, -0.06639, 0.003964, 0.012561, -0.00325, -0.065754, -0.00575, 0.039309, -0.013682, 0.050531, 0.028104, -0.013426, 0.052481, 0.04373, -0.055294, -0.008807, 0.108351, -0.032378, -0.001117, -0.007379, 0.038021, 0.036357, 0.003046, -0.00229, 0.031882, -0.006235, 0.067287, 0.059493, 0.01741, -0.032052, -0.015867, -0.011071, -0.142669, -0.049176, -0.08688, 0.02581, 0.001243, 0.023764, 0.061739, 0.035928, 0.015552, 0.007111, -0.019601, -0.009119, 0.039538, -0.059282, -0.001048, -0.010788, -0.005184, -0.036492, -0.026228, 0.025109, -0.054265, 0.035186, 0.11417, 0.083673, -0.085866, -0.104051, -0.082641, 0.042065, -0.04021, 0.070179, -0.008446, 0.105403, 0.049276, -0.006366, -0.063631, -0.002116, 0.043815, 0.056728, 0.091332, 0.105191, 0.019886, -0.024534, -0.011925, 0.05064, -0.063375, -0.045372, 0.076845, -0.066601, 0.019849, 0.102015, -0.017029, 0.030118, 0.074272, -0.123875, -0.140589, -0.015617, 0.004913, -0.067303, -0.0, 0.020293, 0.039323, 0.050083, -0.06057, 0.039939, -0.037591, 0.008746, 0.015283, -0.058502, 0.016365, -0.023381, 0.022031, -0.040754, 0.003115, -0.006735, -0.025314, -0.155051, 0.019107, 0.11848, 0.069526, -0.016212, -0.019546, 0.044393, 0.003364, 0.084213, 0.07564, -0.016451, 0.003178, 0.040882, -0.00227, -0.007612, 0.02156, -0.045455, 0.026482, -0.1169, -0.039431, -0.000689, -0.025917, 0.008618, -0.062355, -0.045541, 0.025166, 0.020495, 0.00549, -0.011354, 0.033244, -0.05128, -0.007704, 0.062271, 0.010496, -0.023, -0.0367, -0.033376, 0.012207, -0.008803, -0.028921, 0.073424, 0.010176, 0.020553, -0.033523, -0.018763, 0.033583, -0.074512, -0.030981, -0.065369, 0.038057, -0.069368, -0.040248, -0.024527, 0.011349, -0.014245, 0.048723, 0.126562, 0.065889, -0.013239, -0.066933, -0.037249, 0.02805, 0.065729, 0.053295, -0.027065, -0.011446, 0.042992, 0.022774, 0.054907, 0.01548, 0.065427, -0.043188, -0.020391, -0.072043, -0.046709, -0.016437, 0.05222, 0.075027, 0.084874, 0.0, -0.028009, -0.038545, -0.015855, 0.06071, -0.028357, -0.070511, -0.016056, -0.024282, 0.096985, -0.002016, -0.038327, 0.002208, 0.095522, 0.023699, 0.034145, -0.060749, -0.002733, -0.112305, -0.043597, -0.001553, 0.078221, -0.002323, -0.026999, 0.058614, 0.100275, -0.029745, 0.005569, -0.060703, 0.032764, 0.059482, -0.056952, 0.006753, -0.002889, -0.018175, 0.001587, -0.043589, -0.049938, 0.060831, -0.008433, -0.01535, -0.00924, -0.09792, -0.043629, 0.050059, 0.001754, -0.026406, -0.043723, 0.015943, 0.041066, 0.06607, 0.007463, -0.012566, -0.016865, 0.043492, -0.003661, 0.132797, 0.056071, 0.012571, -0.005716, -0.024559, 0.021589, 0.018109, 0.037071, -0.002297, 0.054071, 0.104026, 0.004504, -0.002623, 0.031903, 0.022613, 0.05343, -0.036587, 0.064239, -0.034305, 0.005922, 0.069236, 0.005569, -0.002127, -0.089653, 0.066229, -0.038634, -0.01531, 0.134895, 0.040255, 0.064529, 0.002928, -0.079201, -0.097876, -0.024881, 0.040682, -0.072945, -0.046662, 0.032262, 0.049777, -0.040891, -0.0, -0.0753, -0.039292, -0.063449, -0.012045, 0.054785, -0.06594, -0.049088, 0.044191, -0.037857, -0.068934, 0.042885, 0.024666, 0.003944, 0.018228, 0.055035, 0.056835, 0.026018, -0.012599, -0.05741, 0.031431, -0.040816, 0.025249, -0.068033, -0.065135, -0.049244, -0.002293, -0.015996, 0.111123, 0.030227, -0.058228, -0.040253, 0.049911, -0.006029, -0.076702, 0.067281, -0.034156, 0.052878, 0.047874, -0.064562, -0.026122, 0.013891, -0.035346, -0.113814, -0.026734, -0.006061, -0.024541, -0.104759, 0.05274, 0.051406, -0.062953, 0.063592, -0.055837, 0.018753, -0.034648, 0.063667, 0.010506, 0.008922, 0.007375, 0.044664, -0.01455, -0.021543, -0.085731, 0.16191, -0.024216]</t>
  </si>
  <si>
    <t>[0.085076, 0.005168, -0.006213, -0.010937, -0.076388, -0.01653, -0.097343, 0.029139, 0.031237, -0.032408, -0.082538, -0.024503, 0.016851, -0.032992, -0.044364, 0.058506, 0.049714, -0.065047, -0.005364, 0.001544, -0.033474, -0.01477, -0.007744, -0.028016, 0.003507, 0.016359, 0.006028, -0.040199, 0.044979, 0.00236, 0.03882, 0.048391, 0.084807, -0.049999, 0.034799, 0.091773, 0.040039, -0.023927, 0.007627, 0.03549, 0.020278, 0.034827, -0.010282, -0.03339, -0.040219, -0.03192, 0.06462, 0.036431, 0.043938, 0.060149, 0.021174, -0.031051, 0.028987, 0.028819, -0.062626, 0.075193, -0.079785, -0.047134, 0.054336, 0.013286, 0.085467, 0.064397, -0.009522, 0.052964, 0.081767, 0.021257, -0.06916, -0.020464, -0.001098, -0.1223, 0.053793, -0.094027, -0.049014, -0.025189, 0.051693, 0.137786, 0.05955, 0.09841, 0.106555, -0.058127, 0.062459, 0.005485, -0.005655, -0.04695, -0.004535, 0.038537, -0.005985, -0.007505, 0.012373, 0.001816, 0.120229, -0.033979, 0.046892, -0.080722, -0.03209, 0.001008, -0.025566, -0.036019, -0.000834, 0.038119, 0.057593, 0.031218, 0.02552, -0.013835, -0.085839, -0.044473, 0.045509, 0.090499, 0.047436, 0.075575, 0.037738, -0.014594, 0.013337, 0.006161, -0.058103, 0.046068, -0.074519, -0.055633, 0.077334, -0.054259, 0.011875, 0.016236, 0.011982, -0.063373, -0.029066, -0.026559, -0.158822, -0.0, 0.032583, 0.045676, -0.012648, -0.052407, -0.009038, -0.028876, -0.021901, -0.00959, -0.005833, 0.060246, 0.014478, 0.067344, 0.039438, -0.071323, 0.023976, 0.009881, -0.105665, 0.057062, 0.001233, 0.038235, -0.018439, 0.019891, 0.043038, 0.016178, 0.088084, -0.028343, 0.038165, -0.023519, 0.051562, 0.017212, -0.018903, 0.036705, 0.006423, -0.04457, -0.009051, -0.002864, -0.029999, -0.036668, -0.084738, 0.007584, -0.044238, 0.015077, -0.03884, -0.005092, 0.031815, 0.030786, -0.013041, -0.018672, -0.036857, 0.005341, -0.054539, 0.023786, -0.160089, -0.022553, -0.004701, -0.059887, -0.010428, -0.024684, 0.060311, -0.053911, -0.036803, -0.007015, -0.055504, 0.0328, -0.112413, 0.022888, -0.022218, 0.027933, 0.010779, -0.008676, 0.004447, -0.082017, 0.035172, 0.068142, -0.054659, -0.10313, -0.025321, 0.07469, 0.057112, 0.102551, -0.026811, -0.005851, 0.088091, 0.093459, 0.121367, 0.006588, 0.07778, 0.027082, -0.021864, -0.077617, -0.047149, 0.009293, -0.04428, 0.088886, 0.076449, 0.0, -0.011076, -0.042281, -0.006661, -0.064126, -0.041692, -0.038362, -0.003833, -0.002672, 0.019156, -0.006749, -0.041488, 0.092743, 0.040107, 0.085478, -0.021094, -0.052756, 0.068754, -0.117979, -0.012544, -0.005279, 0.083449, 0.000723, 0.014431, 0.070629, -0.023562, 0.013705, -0.040239, -0.021955, -0.035102, 0.004233, -0.029144, 0.041655, -0.067778, 0.06839, -0.088287, -0.005238, -0.005155, -0.017763, -0.066716, -0.025973, 0.044535, -0.00862, -0.015323, 0.017567, 0.049278, -0.036366, 0.066983, -0.039428, 0.055751, -0.032892, 0.015789, -0.047554, 0.029533, 0.056941, 0.009541, 0.032992, 0.108649, -0.018581, -0.012009, 0.001774, 0.042021, 0.090042, 0.034762, 0.002462, -0.004361, 0.002624, -0.037318, -0.066436, -0.072054, -0.004376, 0.05511, -0.081541, 0.021366, 0.090338, 0.022147, 0.070531, 0.016137, -0.093022, 0.007619, -0.041011, -0.12555, 0.004655, 0.071337, 0.005265, 0.07766, 0.011298, 0.041507, -0.126362, 0.009886, 0.063734, -0.038951, -0.005993, -0.001953, 0.004808, -0.000332, -0.0, -0.056451, 0.033364, -0.075976, -0.004975, -0.0384, -0.124547, -0.036654, 0.047747, 0.02943, -0.058891, 0.049071, 0.034635, -0.113659, 0.033544, -0.025506, 0.034385, -0.078756, 0.019136, -0.063572, -0.047137, -0.040439, -0.024438, 0.063513, 0.017437, -0.002847, -0.013727, -0.032439, 0.064234, 0.03652, -0.043332, -0.022882, 0.053047, 0.006244, -0.04836, 0.009837, 0.015707, 0.028635, 0.026773, -0.004918, -0.060591, -0.04902, -0.048718, -0.029357, -0.036004, 0.031682, 0.029808, -0.147405, 0.033107, 0.106047, -0.061501, 0.046198, -0.038417, 0.043554, 0.022267, 0.058225, -0.045502, -0.012917, -0.011786, -0.014949, -0.046036, -0.012956, -0.090977, 0.041791, -0.012573]</t>
  </si>
  <si>
    <t>[-0.003241, -0.002242, -0.057921, -0.046809, -0.05659, 0.064405, -0.074997, 0.03688, -0.013482, 0.00851, -0.038502, 0.010783, -0.020131, -0.003482, 0.005059, 0.037189, 0.079442, -0.01589, -0.025198, -0.015055, -0.064592, -0.000333, -0.054147, 0.017014, -0.023703, -0.044269, 0.003243, -0.027456, -0.022856, -0.065351, -0.064031, 0.135952, 0.048655, 0.039917, -0.044028, -0.006424, 0.023483, -0.009619, 0.101613, 0.00222, 0.010532, -0.009948, -0.013606, -0.014053, 0.047718, 0.032838, 0.065313, 0.017335, -0.020106, -0.020375, 0.034134, -0.027042, -0.008362, 0.078778, -0.034285, 0.01828, -0.032764, 0.03449, 0.06734, 0.065667, -0.039612, 0.02283, 0.015027, 0.128394, 0.107498, -0.045275, -0.070876, -0.0464, -0.012254, -0.116435, -0.018817, -0.031382, -0.054439, -0.086134, 0.026089, 0.054659, -0.006279, 0.173987, 0.057581, -0.114248, 0.060917, 0.07179, 0.003374, -0.013181, 0.031165, -0.004695, -0.037946, -0.045331, -0.003575, 0.069907, 0.126404, 0.047499, 0.043341, 0.000196, -0.095122, -0.036251, 0.008641, -0.007968, 0.067197, -0.000805, 0.041561, 0.077956, -0.021639, -0.007839, -0.058082, -0.014359, 0.072173, -0.005365, 0.03644, 0.071821, -0.029433, 0.062285, -0.063784, -0.070526, -0.076412, 0.008294, -0.044598, 0.04515, 0.097462, -0.021431, 0.012774, -0.005612, -0.089712, -0.045922, -0.038674, 0.047863, -0.065686, -0.0, -0.018951, 0.018642, 0.003008, 0.068313, 0.038519, -0.054187, -0.037518, -0.040517, 0.010384, -0.065155, -0.015078, 0.122926, 0.026646, -0.038661, 0.093935, -0.060642, -0.133213, 0.04128, 0.036679, 0.01308, 0.008169, 0.063814, -0.011771, 0.038454, 0.062174, 0.090165, -0.039898, -0.046293, -0.091599, 0.008364, -0.030047, 0.09388, -0.016568, 0.014878, 0.01486, 0.030196, 0.007529, -0.012897, -0.004121, 0.02527, -0.053545, 0.013141, -0.046787, 0.012309, 0.034245, -0.060944, -0.063638, -0.037889, 0.034629, 0.023327, -0.012331, 0.000699, -0.056877, -0.016113, 0.031724, -0.089837, 0.001869, -0.01129, 0.058192, -0.04165, 0.031759, 0.090708, -0.100556, 0.005732, -0.085832, -0.008614, -0.09914, -0.050295, 0.049131, -0.063657, -0.018127, 0.017971, 0.004069, 0.038062, -0.015685, -0.047243, -0.050541, -0.00574, 0.022414, 0.039249, 0.04775, 0.030693, 0.050106, -0.05013, 0.052177, -0.051836, 0.072067, 0.024347, -0.007007, -0.019673, -0.015747, 0.005266, 0.072676, 0.097566, 0.10872, -0.0, -0.022815, -0.007975, 0.029307, -0.035211, 0.002931, -0.039648, 0.017435, -0.036927, 0.055674, -0.0615, 0.018537, -0.017397, -0.009598, 0.114616, -0.048048, -0.009488, 0.018283, -0.019981, -0.061928, -0.043933, 0.073719, -0.015878, -0.028686, 0.058063, -0.005476, 0.005737, -0.056105, -0.0221, 0.04872, -0.044973, -0.060062, -0.017197, -0.069569, 0.144808, -0.067352, -0.023114, -0.068394, 0.021123, 0.000684, 0.031811, 0.038855, -0.024127, 0.030483, 0.044919, 0.024318, 0.06451, 0.024464, -0.018102, -0.026346, 0.037104, 0.116978, 0.074287, -0.07758, 0.037687, 0.031111, 0.049653, 0.021378, -0.109183, -0.051669, -0.029384, 0.088313, 0.100557, -0.022543, -0.016259, 0.008591, 0.072955, -0.019244, 0.067633, -0.058779, -0.001816, 0.054678, -0.064425, -0.050735, -0.078457, -0.005004, -0.013806, -0.014729, -0.007199, -0.06782, 0.0293, -0.10229, 0.004928, 0.012137, 0.033673, 0.001095, 0.12251, -0.013876, -0.122776, 0.02905, 0.063029, -0.067194, -0.053628, -0.000715, -0.018679, 0.004092, -0.0, -0.075721, -0.058746, -0.063127, 0.002014, 0.064389, -0.05617, -0.037267, 0.019529, 0.029065, -0.019822, 0.033168, 0.068377, -0.003109, -0.031965, 0.055118, 0.097462, -0.066022, 0.018181, 0.020668, 0.014753, -0.049277, 0.008134, 0.012079, -0.016962, -0.025064, 0.013418, -0.053909, 0.053035, -0.0241, 0.021213, -0.000392, 0.040626, 0.006073, -0.083055, -0.030323, -0.057475, 0.023128, -0.023892, -0.005249, -0.075108, -0.004437, -0.007562, -0.018073, 0.040694, -0.007671, -0.057341, -0.02989, 0.011114, 0.020919, -0.155135, 0.017477, 0.012767, 0.020844, 0.016414, 0.064241, 0.01238, 0.007273, 0.006885, -0.015693, -0.026116, -0.032535, -0.074943, 0.073957, 0.04184]</t>
  </si>
  <si>
    <t>[0.013275, 0.009012, -0.046796, -0.020073, -0.044902, 0.056053, -0.015964, 0.070823, 0.040899, 0.017405, -0.048942, -0.046528, 0.058586, -0.056027, -0.022422, 0.138769, 0.082762, -0.065646, -0.061385, -0.026664, -0.026969, 0.025237, -0.010889, -0.00979, 0.016575, 0.044449, 0.053226, -0.066474, 0.045521, 0.006832, 0.010596, 0.107613, 0.047607, -0.000439, 0.016918, 0.068151, 0.009408, 0.030497, 0.102857, -0.004754, 0.029917, -0.013686, -0.020172, -0.058618, 0.040775, 0.02217, 0.034745, 0.027443, 0.037127, 0.034867, 0.001274, 0.015711, 0.020013, 0.018421, -0.025297, -0.008359, -0.007881, 0.016055, 0.046423, 0.09276, -0.025344, 0.012895, 0.052991, 0.014804, 0.111182, -0.02871, -0.0738, -0.060905, -0.051474, -0.131774, 0.099556, -0.034995, -0.044115, -0.037748, 0.050025, 0.029874, 0.010316, 0.099243, 0.100377, -0.046792, 0.024804, 0.013805, -0.010731, 0.011424, -0.010952, 0.028662, 0.031233, -0.027501, 0.055939, 0.083378, 0.054259, -0.058347, 0.02387, -0.045208, -0.037807, 0.032619, -0.021799, -0.073075, 0.049851, 0.022864, 0.034051, 0.014178, -0.01848, -0.071823, -0.092087, -0.062338, 0.091853, 0.023008, 0.05671, 0.050334, -0.009423, -0.018036, 0.019562, -0.043805, -0.008092, 0.013507, -0.056853, 0.046483, 0.066865, -0.026341, 0.030256, -0.000239, -0.009019, -0.00293, -0.02584, -0.027593, -0.115629, -0.0, -0.014963, 0.066814, 0.025353, -0.03207, -0.068832, -0.072961, -0.018169, 0.01798, 0.025479, 0.001042, -0.056313, 0.129531, 0.049496, 0.045588, 0.052511, -0.078923, -0.120799, 0.00452, 0.042633, 0.003861, 0.047518, -0.065605, 0.103044, 0.020758, 0.04357, 0.045994, 0.022308, -0.02163, 0.036463, 0.009035, 0.014831, 0.092609, -0.030536, -0.055655, -0.058816, 0.049803, 0.027631, 0.005915, -0.014364, 0.088943, -0.051094, 0.046671, 0.00164, -0.004917, -0.042463, 0.037817, -0.004643, -0.039699, 0.009864, -0.005711, -0.007547, -0.002812, -0.060229, -0.041592, 0.011599, -0.094368, -0.006168, -0.036324, 0.018415, -0.016531, -0.004222, 0.054676, -0.057174, 0.123454, -0.108052, 0.078575, 0.005393, 0.044684, 0.048692, -0.061086, 0.053487, -0.040069, 0.006683, -0.066925, -0.080068, -0.075835, -0.028227, 0.023394, 0.090401, 0.06867, -0.044945, 0.004281, 0.071888, -0.047179, 0.118785, -0.033384, 5.4e-05, 0.015877, -0.042482, -0.050205, -0.019239, -0.006474, -0.027653, 0.077012, 0.011576, 0.0, -0.043245, 0.040073, 0.013589, -0.03815, 0.038717, -0.06402, -0.010321, -0.013591, 0.021869, 0.058065, -0.082593, -0.049885, -0.013257, 0.10542, -0.010441, -0.085562, 0.022392, -0.077974, -0.007672, -0.066327, 0.02314, 0.05479, 0.009118, 0.008433, -0.023088, 0.016694, -0.089055, 0.009845, 0.065846, 0.001436, 0.006283, -0.023137, -0.082975, 0.079343, -0.086108, 0.042531, 0.06379, -0.077809, -0.027409, -0.022453, 0.002342, -0.027576, -0.104464, 0.047885, -0.020201, 0.048514, 0.01464, 0.031205, 0.046734, -0.022124, 0.070221, -0.009379, -0.027006, 0.011987, -0.092323, 0.014267, 0.064364, -0.014242, -0.039445, -0.008152, 0.052508, 0.064051, -0.00148, 0.035495, -0.051649, 0.043084, 0.056249, -0.000987, -0.043319, -0.081965, 0.068339, -0.066614, -0.010372, 0.003873, -0.028939, 0.091592, -0.022285, -0.016935, 0.044395, -0.051164, -0.062362, -0.022776, 0.052957, -0.026735, 0.033457, 0.050609, -0.023557, -0.129378, -0.059132, 0.137852, -0.102495, -0.020112, 0.013144, 0.047619, -0.038709, -0.0, -0.056977, -0.015599, -0.009845, 0.012038, 0.020801, -0.07681, -0.085178, 0.048126, 0.015785, -0.058227, 0.013747, -0.038196, -0.084871, 0.050899, 0.028335, 0.010455, -0.046652, 0.016821, -0.005521, -0.025244, 0.027613, -0.021317, -0.000194, -0.072737, 0.017889, -0.040193, -0.070191, 0.078212, -0.027257, 0.040226, -0.008679, 0.060115, -0.002157, -0.015909, 0.029218, -0.060838, 0.022702, 0.003464, -0.007384, -0.086699, -0.012304, 0.020283, -0.055621, -0.050129, 0.016455, -0.026689, -0.147439, -0.033095, 0.100782, -0.116404, 0.035145, -0.042044, 0.023037, 0.069528, 0.084956, -0.023061, -0.019266, -0.011124, 0.004046, -0.020154, -0.030994, -0.092995, 0.038837, -0.04107]</t>
  </si>
  <si>
    <t>Test Purpose</t>
  </si>
  <si>
    <t>Relevance Label</t>
  </si>
  <si>
    <t>Review Status</t>
  </si>
  <si>
    <t>Direct semantic matching</t>
  </si>
  <si>
    <t>Relevant</t>
  </si>
  <si>
    <t>Provisional — verify</t>
  </si>
  <si>
    <t>Specific fact retrieval</t>
  </si>
  <si>
    <t>Paraphrase / semantic retrieval</t>
  </si>
  <si>
    <t>Multiple relevant articles</t>
  </si>
  <si>
    <t>Industry-context retrieval</t>
  </si>
  <si>
    <t>Multiple related articles</t>
  </si>
  <si>
    <t>Indirect semantic matching</t>
  </si>
  <si>
    <t>Headline-only evidence</t>
  </si>
  <si>
    <t>Answer absent / unsupported specific fact</t>
  </si>
  <si>
    <t>No confirmed evidence</t>
  </si>
  <si>
    <t>Match Reason</t>
  </si>
  <si>
    <t>direct match</t>
  </si>
  <si>
    <t>indirect match</t>
  </si>
  <si>
    <t>None</t>
  </si>
  <si>
    <t>no match</t>
  </si>
  <si>
    <t>Relevant (GT)</t>
  </si>
  <si>
    <t>Predicted @ Threshold</t>
  </si>
  <si>
    <t>Outcome</t>
  </si>
  <si>
    <t>Threshold (edit me)</t>
  </si>
  <si>
    <t>Threshold</t>
  </si>
  <si>
    <t>TP</t>
  </si>
  <si>
    <t>FP</t>
  </si>
  <si>
    <t>FN</t>
  </si>
  <si>
    <t>Precision</t>
  </si>
  <si>
    <t>Recall</t>
  </si>
  <si>
    <t>F1</t>
  </si>
  <si>
    <t>Direct recall</t>
  </si>
  <si>
    <t>Indirect recall</t>
  </si>
  <si>
    <t>Lexical Score (ts_rank_cd)</t>
  </si>
  <si>
    <t>Rank in Question</t>
  </si>
  <si>
    <t>Retrieval Comparison - CBA.AX (16 questions x 21 articles)</t>
  </si>
  <si>
    <t>Method</t>
  </si>
  <si>
    <t>Precision@5</t>
  </si>
  <si>
    <t>Recall@5</t>
  </si>
  <si>
    <t>Precision@7</t>
  </si>
  <si>
    <t>Recall@7</t>
  </si>
  <si>
    <t>Precision@10</t>
  </si>
  <si>
    <t>Recall@10</t>
  </si>
  <si>
    <t>MRR</t>
  </si>
  <si>
    <t>Avg # retrieved for no-answer Qs (k=5)</t>
  </si>
  <si>
    <t>Semantic</t>
  </si>
  <si>
    <t>Lexical</t>
  </si>
  <si>
    <t>Hybrid RRF</t>
  </si>
  <si>
    <t>Method notes:</t>
  </si>
  <si>
    <t>Semantic: cosine similarity (Similarity tab), keep &gt;= 0.4, rank by similarity. Ranked lists in the detail table are precomputed in Python.</t>
  </si>
  <si>
    <t>Lexical: ts_rank_cd from the user's query (Lexical tab), keep score &gt; 0, rank as returned by SQL (score desc, id). The 0.40 threshold is NOT applied: ts_rank_cd is on a different scale.</t>
  </si>
  <si>
    <t>Hybrid RRF: union of the Semantic and Lexical lists above; score = sum of 1/(60 + rank) over the lists an article appears in; rank by score.</t>
  </si>
  <si>
    <t>Precision@k = hits / articles actually retrieved in top k (threshold can return fewer than k); Recall@k = hits / relevant; MRR uses the full retrieved list.</t>
  </si>
  <si>
    <t>Averages are macro, over the 14 answerable questions. Q11 and Q12 have no relevant article; last column = how many articles each method still returns for them.</t>
  </si>
  <si>
    <t>Answerable</t>
  </si>
  <si>
    <t># Relevant</t>
  </si>
  <si>
    <t>Ranked List (CSV rows)</t>
  </si>
  <si>
    <t>Reciprocal Rank</t>
  </si>
  <si>
    <t>Retrieved@5</t>
  </si>
  <si>
    <t>Hits@5</t>
  </si>
  <si>
    <t>Retrieved@7</t>
  </si>
  <si>
    <t>Hits@7</t>
  </si>
  <si>
    <t>Retrieved@10</t>
  </si>
  <si>
    <t>Hits@10</t>
  </si>
  <si>
    <t>Yes</t>
  </si>
  <si>
    <t>3, 14</t>
  </si>
  <si>
    <t>3, 14, 18</t>
  </si>
  <si>
    <t>16, 19, 14</t>
  </si>
  <si>
    <t>1, 2, 3, 14</t>
  </si>
  <si>
    <t>10, 7, 16, 12</t>
  </si>
  <si>
    <t>7, 12, 10, 5, 6, 8, 19, 16</t>
  </si>
  <si>
    <t>19, 16, 14</t>
  </si>
  <si>
    <t>18, 2, 14, 1, 3, 19, 16, 17, 21</t>
  </si>
  <si>
    <t>5, 6, 8, 19</t>
  </si>
  <si>
    <t>19, 11</t>
  </si>
  <si>
    <t>No</t>
  </si>
  <si>
    <t>16, 19</t>
  </si>
  <si>
    <t>(none)</t>
  </si>
  <si>
    <t>9</t>
  </si>
  <si>
    <t>18, 19</t>
  </si>
  <si>
    <t>3, 14, 16, 19</t>
  </si>
  <si>
    <t>3, 16, 21, 14, 1, 2, 17, 13, 18, 19</t>
  </si>
  <si>
    <t>3, 16, 18, 21, 14, 1, 2, 17, 13, 19</t>
  </si>
  <si>
    <t>14, 16, 3, 9, 1, 19</t>
  </si>
  <si>
    <t>1, 2, 3, 21, 17, 9, 13, 14, 18</t>
  </si>
  <si>
    <t>10, 7, 5, 2, 12, 1, 16, 6, 9, 13, 8, 18, 15, 3, 19</t>
  </si>
  <si>
    <t>5, 7, 12, 6, 11, 10, 15</t>
  </si>
  <si>
    <t>14, 16, 3, 19</t>
  </si>
  <si>
    <t>2, 3, 7, 1, 18, 9, 12, 10, 21, 8, 16, 19, 17, 13, 14, 6</t>
  </si>
  <si>
    <t>5, 6, 8, 16, 3, 9, 14, 19</t>
  </si>
  <si>
    <t>11, 16, 3, 19, 5, 14</t>
  </si>
  <si>
    <t>16, 3, 14, 19</t>
  </si>
  <si>
    <t>16, 3, 11, 12, 10, 14, 19</t>
  </si>
  <si>
    <t>9, 14, 16, 3, 11, 13, 5, 1, 18, 6, 19</t>
  </si>
  <si>
    <t>16, 3, 14, 15, 19</t>
  </si>
  <si>
    <t>16, 18, 3, 14, 19</t>
  </si>
  <si>
    <t>3, 16, 21, 14, 1, 2, 17, 13, 18, 15, 19</t>
  </si>
  <si>
    <t>3, 14, 16, 21, 1, 2, 17, 13, 18, 19</t>
  </si>
  <si>
    <t>3, 18, 14, 16, 21, 1, 2, 17, 13, 19</t>
  </si>
  <si>
    <t>16, 14, 19, 3, 9, 1</t>
  </si>
  <si>
    <t>1, 2, 3, 14, 21, 17, 9, 13, 18</t>
  </si>
  <si>
    <t>10, 7, 12, 16, 5, 2, 1, 6, 9, 13, 8, 18, 15, 3, 19</t>
  </si>
  <si>
    <t>7, 5, 12, 10, 6, 11, 8, 19, 15, 16</t>
  </si>
  <si>
    <t>14, 16, 19, 3</t>
  </si>
  <si>
    <t>2, 18, 3, 1, 14, 19, 16, 21, 17, 7, 9, 12, 10, 8, 13, 6</t>
  </si>
  <si>
    <t>5, 6, 8, 19, 16, 3, 9, 14</t>
  </si>
  <si>
    <t>11, 19, 16, 3, 5, 14</t>
  </si>
  <si>
    <t>16, 19, 3, 14</t>
  </si>
  <si>
    <t>16, 19, 3, 14, 15</t>
  </si>
  <si>
    <t>18, 19, 16, 3, 14</t>
  </si>
  <si>
    <t>3, 16, 14, 19, 21, 1, 2, 17, 13, 18, 15</t>
  </si>
  <si>
    <t>End-to-end answer quality - 4 CBA questions x 3 retrieval methods (k=5, semantic threshold 0.40)</t>
  </si>
  <si>
    <t>Avg Retrieval Recall</t>
  </si>
  <si>
    <t>Avg Groundedness %</t>
  </si>
  <si>
    <t>Avg Completeness vs Gold %</t>
  </si>
  <si>
    <t>Avg Completeness vs Retrieved %</t>
  </si>
  <si>
    <t>Q12 (answer absent): declined?</t>
  </si>
  <si>
    <t>Method:</t>
  </si>
  <si>
    <t>Questions: H1 = direct answer; Q6 = broad, many relevant articles; Q3 = retrieval methods differ; Q12 = answer absent. Averages cover the 3 answerable questions (H1, Q6, Q3).</t>
  </si>
  <si>
    <t>Retrieved lists = top 5 from the Retrieval Comparison tab. Evidence text fetched read-only from ticker_news in the exact shape search_internal_news_tool produces.</t>
  </si>
  <si>
    <t>Answers: production agent/shared/synthesize.py::synthesize_insight (ANALYSIS_MODEL) with question=..., no ReAct draft_answer, no external Yahoo tool. Empty evidence returns production's fixed decline message.</t>
  </si>
  <si>
    <t>Judges (JUDGE_MODEL, agent/eval/judge.py): groundedness vs RETRIEVED evidence; completeness vs GOLD evidence (human-labelled articles = expected answer facts) and vs retrieved evidence (what production monitoring sees); answer_found for Q12.</t>
  </si>
  <si>
    <t>Single run per cell - LLM generation and judging are non-deterministic, so differences of ~5-15 points between cells are within noise.</t>
  </si>
  <si>
    <t>Question Type</t>
  </si>
  <si>
    <t>Retrieved (CSV rows)</t>
  </si>
  <si>
    <t>Gold (CSV rows)</t>
  </si>
  <si>
    <t># Gold</t>
  </si>
  <si>
    <t>Relevant Retrieved</t>
  </si>
  <si>
    <t>Retrieval Recall</t>
  </si>
  <si>
    <t>Groundedness %</t>
  </si>
  <si>
    <t>Grounded</t>
  </si>
  <si>
    <t>Completeness vs Gold %</t>
  </si>
  <si>
    <t>Completeness vs Retrieved % (monitoring view)</t>
  </si>
  <si>
    <t>Declined Correctly (answer-absent)</t>
  </si>
  <si>
    <t>Answer</t>
  </si>
  <si>
    <t>Unsupported Claims</t>
  </si>
  <si>
    <t>Omitted Gold Points</t>
  </si>
  <si>
    <t>Direct answer</t>
  </si>
  <si>
    <t>n/a</t>
  </si>
  <si>
    <t>Based on the evidence, Commonwealth Bank has introduced **PaidIt**, a new payout platform launched ahead of the phase-out of cheques. According to the reporting from Retail Banker International, PaidIt combines three functions within a single system:
- **Recipient verification** – confirming the identity/details of the person being paid
- **Communications** – notifying recipients about the payment
- **Payment delivery** – actually transferring the funds
This platform is positioned as CBA's replacement mechanism for cheque-based payments as cheques are wound down.
Note: the evidence provided is limited to this single announcement, so I don't have further details on rollout timing, target customers (retail vs. business), or how PaidIt compares to existing payment rails like PayID/Osko.</t>
  </si>
  <si>
    <t>[unsupported] Recipient verification – confirming the identity/details of the person being paid
[unsupported] Communications – notifying recipients about the payment
[unsupported] Payment delivery – actually transferring the funds
[unsupported] This platform is positioned as CBA's replacement mechanism for cheque-based payments as cheques are wound down.</t>
  </si>
  <si>
    <t>9, 14, 16, 3, 11</t>
  </si>
  <si>
    <t>Commonwealth Bank has launched **PaidIt**, a new payout platform introduced ahead of the industry-wide phase-out of cheques. PaidIt combines three functions within a single system:
- **Recipient verification**
- **Communications**
- **Payment delivery**
This consolidated approach is designed to provide a replacement for cheque-based payouts, streamlining how CBA confirms who a payment is going to, notifies recipients, and delivers funds — all in one platform.</t>
  </si>
  <si>
    <t>[unsupported] introduced ahead of the industry-wide phase-out of cheques
[unsupported] This consolidated approach is designed to provide a replacement for cheque-based payouts</t>
  </si>
  <si>
    <t>CBA has introduced **PaidIt**, a new payout platform launched ahead of the phase-out of cheque-based payments. According to Retail Banker International, PaidIt combines three functions into a single system:
- **Recipient verification**
- **Communications**
- **Payment delivery**
This appears designed to provide an integrated alternative for disbursing funds as cheques are wound down.</t>
  </si>
  <si>
    <t>Broad, multi-article</t>
  </si>
  <si>
    <t>7, 12, 10, 5, 6</t>
  </si>
  <si>
    <t>7, 12, 19, 10, 5, 6, 8</t>
  </si>
  <si>
    <t>Based on the evidence gathered, here's what the latest commentary suggests about Australian interest rate expectations:
- **Further rate hikes anticipated**: As of late August, three of Australia's four major banks — Commonwealth Bank of Australia, National Australia Bank, and ANZ — were forecasting another rate hike before year-end, triggered by a hotter-than-expected inflation print.
- **Market positioning around a November move**: Speculative investors have reportedly increased bets that the Reserve Bank of Australia (RBA) will raise rates again in November, as inflation remains above the central bank's target.
- **Broader market tone**: Related commentary notes that bond yields are reflecting expectations for tighter central bank policy generally, and that higher global rate expectations have pushed up funding costs — a dynamic cited in the context of dividend-paying stocks becoming more attractive as fixed-income alternatives.
In short, the prevailing expectation reflected in this evidence is for **at least one more RBA rate hike (with November floated as a likely timing)**, driven by persistent inflation pressures. The evidence does not provide more recent updates beyond this point, so I can't speak to whether these expectations have since shifted.</t>
  </si>
  <si>
    <t>[unsupported] a dynamic cited in the context of dividend-paying stocks becoming more attractive as fixed-income alternatives</t>
  </si>
  <si>
    <t>The knock-on effect on banks/mortgage lending mentioned in the evidence (investors questioning rich valuations of Australian banks as mortgage demand plummets) is not reflected
Australian credit growth described as still resilient despite rate expectations</t>
  </si>
  <si>
    <t>5, 7, 12, 6, 11</t>
  </si>
  <si>
    <t>Based on the evidence available, here's what's indicated about Australian interest rate expectations:
- **Rate hikes were being forecast**: Three of Australia's four major banks — including Commonwealth Bank of Australia (CBA) itself, along with NAB and ANZ — forecast another rate hike in 2023 after a stronger-than-expected inflation print.
- **Market positioning pointed to a November hike**: Speculative traders ("fast money") were increasingly pricing in a Reserve Bank of Australia (RBA) rate increase in November, driven by inflation remaining above the RBA's target band.
- **Broader market tone reflects tighter-for-longer policy**: Commentary around dividend stocks notes that "higher global interest rate expectations" and expectations of "tighter central bank policy" have pushed up funding costs and made bond/cash yields less certain, reinforcing the theme that rates were expected to stay elevated or rise further.
**Caveat**: This evidence is dated (references to 2023 inflation prints, August/November rate-hike forecasts) and does not include the most recent RBA decisions or current market pricing for future moves. If you're looking for up-to-date expectations (e.g., current RBA cash rate target or forward guidance), this evidence set doesn't cover that — it reflects a snapshot from a prior rate-hiking cycle rather than the latest outlook.</t>
  </si>
  <si>
    <t>[unsupported] forecast another rate hike in 2023 after a stronger-than-expected inflation print
[unsupported] This evidence is dated (references to 2023 inflation prints, August/November rate-hike forecasts)
[unsupported] inflation remaining above the RBA's target band
[unsupported] it reflects a snapshot from a prior rate-hiking cycle rather than the latest outlook</t>
  </si>
  <si>
    <t>The knock-on effect on Australian banks: a plunge in mortgage demand/lending downturn is causing investors to question the rich valuations of the big banks (Reuters, Aug 25)
Mention that Australian credit growth remains resilient despite higher rate expectations</t>
  </si>
  <si>
    <t>7, 5, 12, 10, 6</t>
  </si>
  <si>
    <t>Based on the gathered evidence, the latest expectations around Australian interest rates point toward further tightening rather than cuts:
- **Major bank forecasts**: CBA, NAB, and ANZ (three of Australia's four major banks) have all forecast an additional rate hike this year, a shift driven by a stronger-than-expected inflation print.
- **Market positioning**: Speculative/"fast money" investors are increasingly pricing in a Reserve Bank of Australia (RBA) rate hike at its November meeting, reflecting continued concern that inflation remains above the RBA's target band.
- **Broader market tone**: Commentary around dividend-paying stocks notes that "higher global interest rate expectations" and bond yields reflecting "tighter central bank policy" are pushing up funding costs and making cash/bond income less certain, reinforcing the theme that markets are bracing for higher-for-longer rates rather than imminent easing.
Taken together, the evidence suggests the prevailing expectation at the time of these reports was for at least one more RBA rate hike (potentially in November), driven by persistent inflation pressure. The evidence does not provide specifics on rate expectations beyond this near-term hike (e.g., no detail on a longer-term rate path, terminal rate level, or subsequent cuts).</t>
  </si>
  <si>
    <t>[unsupported] reflecting continued concern that inflation remains above the RBA's target band
[unsupported] reinforcing the theme that markets are bracing for higher-for-longer rates rather than imminent easing</t>
  </si>
  <si>
    <t>The Reuters piece on bank investors bracing for tough times notes mortgage demand plummeting / a downturn in mortgage lending and questioned bank valuations — a rate-related market consequence not mentioned in the answer
The mention that Australian credit growth remains resilient (from the dividend screener article) was not incorporated</t>
  </si>
  <si>
    <t>Retrieval methods differ</t>
  </si>
  <si>
    <t>9, 1, 2</t>
  </si>
  <si>
    <t>Based on the evidence gathered, I'm unable to directly answer how CBA is modernising its payment services specifically. The available information doesn't contain details on CBA's payment technology initiatives, infrastructure upgrades, or specific payment product developments.
What the evidence does touch on are adjacent but distinct topics:
- **AI-driven customer service changes** – CBA, along with Microsoft and Uber, has reportedly been replacing customer service roles with AI, which could be tangentially related to how the bank operates digitally but isn't specific to payments infrastructure.
- **Lending facility to archTIS** – CBA extended a A$4 million working capital facility to a data security software company, which is a lending relationship rather than a payments modernisation initiative.
- **General investment narrative commentary** – A Simply Wall St piece referencing profit trends and RBA rate expectations, which doesn't address payments technology.
If you're looking for specifics on CBA's payment modernisation efforts (e.g., real-time payments infrastructure, digital wallet integration, merchant services, or core banking platform upgrades), I'd need additional targeted evidence/news sources covering those areas specifically.</t>
  </si>
  <si>
    <t>CBA has unveiled a new payout platform called PaidIt, launched ahead of the exit/phase-out of cheques
PaidIt combines recipient verification, communications and payment delivery within a single system
CBA is part of a coalition of global banks (with NatWest, Bank of America and others) warning that agentic AI shopping agents could increase risk of scams, fraud and data privacy breaches
The banks' concern that AI commerce tools could expose card details and weaken payment security, outpacing current industry fraud safeguards</t>
  </si>
  <si>
    <t>14, 16, 3, 9, 1</t>
  </si>
  <si>
    <t>Based on the evidence available, the clearest example of CBA modernising its payment services is:
- **Launch of "PaidIt"** – a new payout platform CBA has unveiled ahead of the phase-out of cheques in Australia. It combines recipient verification, communications, and payment delivery into a single integrated system, aimed at helping businesses and institutions transition away from cheque-based payments to digital alternatives.
Separately, CBA is investing heavily in AI capabilities more broadly (e.g., its chief AI officer has discussed scaling roughly A$400 million in AI value, with the majority of engineers using AI agents to boost code output and resolve security issues). While this reflects a broader technology modernisation push at the bank, the evidence doesn't specify how much of this AI investment is directly tied to payments infrastructure versus other areas like customer service or engineering productivity.
The evidence does not provide further detail on other specific payment modernisation initiatives (e.g., real-time payments infrastructure, NPP upgrades, digital wallet integration, or international payment systems), so a fuller picture of CBA's payments strategy isn't available from what's here.</t>
  </si>
  <si>
    <t>[unsupported] the phase-out of cheques in Australia
[unsupported] aimed at helping businesses and institutions transition away from cheque-based payments to digital alternatives
[unsupported] the majority of engineers using AI agents to boost code output and resolve security issues</t>
  </si>
  <si>
    <t>The two articles about banks warning that agentic AI shopping agents could expose card details, increase scam/fraud risk and outpace payment security safeguards were not reflected; this industry-level payment-security context (coalition of global banks including NatWest and Bank of America) is only tangentially relevant since CBA is not named</t>
  </si>
  <si>
    <t>16, 14, 19, 3, 9</t>
  </si>
  <si>
    <t>Based on the available evidence, the clearest example of CBA modernising its payment services is the launch of **PaidIt**, a new payout platform highlighted ahead of the phase-out of cheques. Key features reported include:
- **Recipient verification** built into the platform to confirm payees before funds are sent
- **Integrated communications** with recipients as part of the payment workflow
- **Payment delivery** consolidated within a single system, rather than relying on separate processes
This appears to be positioned as a digital replacement for cheque-based payouts, aligning with the broader industry shift away from paper cheques.
Separately, the evidence also points to CBA investing in **AI capabilities** more broadly across the bank (e.g., AI agents used by engineers, AI chief discussing scaling AI value), which may support operational efficiency, though this isn't specifically tied to payment services in the evidence provided.
The other items in the evidence (the archTIS lending facility and general AI/customer service coverage) relate to CBA's business lending and AI strategy more broadly, not specifically to payment service modernisation, so I haven't included them as directly relevant here.
If you're looking for more detail on CBA's payments infrastructure (e.g., real-time payments, NPP integration, merchant services, or international payment upgrades), the current evidence doesn't cover those areas specifically.</t>
  </si>
  <si>
    <t>[unsupported] Recipient verification built into the platform to confirm payees before funds are sent
[unsupported] Integrated communications with recipients as part of the payment workflow
[unsupported] This appears to be positioned as a digital replacement for cheque-based payouts, aligning with the broader industry shift away from paper cheques.
[unsupported] AI agents used by engineers ... which may support operational efficiency</t>
  </si>
  <si>
    <t>The evidence includes two items about a coalition of global banks (including NatWest and Bank of America) warning that agentic AI shopping agents could expose card details, increase scams/fraud and data privacy risks, and outpace existing payment fraud protections — this payments-security context was not mentioned at all in the answer</t>
  </si>
  <si>
    <t>Answer absent</t>
  </si>
  <si>
    <t>n/a (no evidence)</t>
  </si>
  <si>
    <t>Not enough evidence was gathered for CBA.AX to produce an insight.  [fixed production message - no LLM call, empty evidence]</t>
  </si>
  <si>
    <t>16, 3, 11, 12, 10</t>
  </si>
  <si>
    <t>The evidence provided doesn't actually address CBA's climate commitments, net-zero targets, or fossil-fuel lending policies. The gathered material instead covers unrelated topics — a lending facility extended to a data security company, CBA's internal AI initiatives, interest rate speculation, mortgage demand trends, and an unrelated private bank's earnings.
None of this touches on climate strategy, emissions reduction targets, exposure limits to coal/oil/gas financing, or sustainability-linked lending policies, which is what your question is asking about. To properly answer this, I'd need evidence specifically from CBA's climate reporting (such as its Climate Report or Net Zero transition plans), ESG disclosures, or news coverage of its fossil-fuel financing policies — none of which is present here.</t>
  </si>
  <si>
    <t>The evidence gathered doesn't address this question. None of the available news items discuss CBA's climate strategy, net-zero commitments, emissions-reduction targets, or any policies related to fossil-fuel lending restrictions. The material provided instead covers unrelated topics—such as a small business lending facility, CBA's AI initiatives, interest rate speculation, and broader mortgage market conditions in Australia.
To properly answer a question about CBA's climate commitments, you'd want evidence such as the bank's sustainability or climate reports, statements on its Paris Agreement alignment, any thermal coal or oil &amp; gas lending exclusion policies, and progress updates against previously stated emission-reduction targets for its lending portfolio. None of that is present here, so I can't provide a reliable answer based on the current evidence.</t>
  </si>
  <si>
    <t>End-to-end answer quality - all 16 CBA questions x 3 methods, k = 5, 10 (semantic threshold 0.40)</t>
  </si>
  <si>
    <t>k</t>
  </si>
  <si>
    <t>% Fully Grounded</t>
  </si>
  <si>
    <t>Answer-absent declined (of 2)</t>
  </si>
  <si>
    <t>Cells reused from lower k</t>
  </si>
  <si>
    <t>CORREL(recall, completeness vs gold)</t>
  </si>
  <si>
    <t>CORREL(recall, groundedness)</t>
  </si>
  <si>
    <t>Answerable rows</t>
  </si>
  <si>
    <t>Answerable = 14 questions with at least one human-labelled article; Q11 and Q12 are answer-absent (scored only on whether the answer declines).</t>
  </si>
  <si>
    <t>Retrieved lists = top k from the Retrieval Comparison tab (semantic already filtered at &gt;= 0.40, so it often returns fewer than k). Evidence fetched read-only from ticker_news in the production tool's exact shape.</t>
  </si>
  <si>
    <t>Answers: production synthesize_insight (ANALYSIS_MODEL), question passed, no ReAct draft, no external Yahoo tool. Judges: JUDGE_MODEL - groundedness vs retrieved; completeness vs gold (expected facts) and vs retrieved; answer_found for answer-absent.</t>
  </si>
  <si>
    <t>Reused from k: where a (question, method) retrieved exactly the same list at a higher k, the lower-k answer and scores are reused - so k differences come only from extra evidence, not from LLM randomness.</t>
  </si>
  <si>
    <t>CORREL skips rows where either value is text ('n/a'). Single run per cell - differences of ~5-15 points on one row are within judge/generation noise.</t>
  </si>
  <si>
    <t>Reused from k</t>
  </si>
  <si>
    <t>3, 18, 14</t>
  </si>
  <si>
    <t>Based on the available evidence, here's what's known about CBA's use of AI in software engineering:
- **Scale of adoption**: Approximately 80% of CBA's engineers are now using AI agents as part of their development workflow, according to comments from Ranil Boteju, the bank's Chief AI Officer.
- **Productivity impact**: The bank reports that these AI agents have helped triple code output among engineers using them.
- **Security benefits**: The AI tooling has also been credited with helping resolve more than 15,000 security issues, suggesting the AI is being used not just for writing new code but also for identifying and remediating vulnerabilities or technical debt.
- **Broader context**: This engineering initiative is part of a larger push at CBA to scale AI value across the organization — reportedly targeting around A$400 million in value — with Boteju emphasizing a "humans in the loop" approach, meaning AI augments rather than fully automates engineering decisions.
One caveat: the evidence doesn't specify which AI tools/platforms are being used (e.g., whether this involves GitHub Copilot, custom internal models, or other coding assistants), nor does it provide a timeline for when this 80% adoption was reached or how the A$400 million figure breaks down by function. The second piece of evidence (on AI replacing customer service jobs) relates to a different part of CBA's AI strategy and isn't directly relevant to the software engineering productivity question.</t>
  </si>
  <si>
    <t>[unsupported] suggesting the AI is being used not just for writing new code but also for identifying and remediating vulnerabilities or technical debt
[unsupported] with Boteju emphasizing a "humans in the loop" approach, meaning AI augments rather than fully automates engineering decisions
[unsupported] The second piece of evidence (on AI replacing customer service jobs) relates to a different part of CBA's AI strategy</t>
  </si>
  <si>
    <t>3, 16, 21, 14, 1</t>
  </si>
  <si>
    <t>Based on the available evidence, here's what's known about CBA's use of AI in software engineering specifically:
**Key data points from Ranil Boteju (CBA's Chief AI Officer):**
- Approximately **80% of CBA's engineers** now use AI agents as part of their workflow
- This has helped **triple code output** among those engineers
- AI tools have also been used to **resolve over 15,000 security issues**
- CBA is reportedly scaling toward **A$400 million in AI-driven value**, with an emphasis on keeping "humans in the loop" rather than fully automating engineering tasks
**Context/caveats:**
- The evidence doesn't provide detail on *which* AI tools or platforms CBA is using (e.g., whether these are off-the-shelf coding assistants, custom-built agents, or a mix), nor does it explain the methodology behind the "tripled output" or "A$400m value" figures.
- Separate reporting (Bloomberg) notes AI is also displacing **customer service roles** at CBA, which is a related but distinct application of AI at the bank (not software engineering specifically).
- No evidence was found detailing specific engineering productivity metrics beyond the output/security figures above, such as deployment frequency, defect rates, or developer satisfaction scores.
If you're looking for more granular detail — such as named tools (e.g., GitHub Copilot, custom LLMs), the proportion of productivity gains attributable to AI versus other factors, or how CBA measures "code output" — that level of detail isn't present in the gathered evidence.</t>
  </si>
  <si>
    <t>[unsupported] with an emphasis on keeping "humans in the loop" rather than fully automating engineering tasks
[unsupported] AI is also displacing customer service roles at CBA, which is a related but distinct application of AI at the bank (not software engineering specifically)</t>
  </si>
  <si>
    <t>The Reuters item about CBA appointing a new CIO and CTO to boost its technology and AI strategy is not mentioned (marginally relevant as organizational context for the AI/engineering push)</t>
  </si>
  <si>
    <t>3, 14, 16, 21, 1</t>
  </si>
  <si>
    <t>Based on the available evidence, here's what CBA is doing with AI in software engineering:
- **Scale of adoption**: Roughly 80% of CBA's engineers are reportedly using AI agents/coding tools as part of their workflow, according to comments from CBA's chief AI officer, Ranil Boteju.
- **Productivity gains**: These AI agents are said to have helped triple code output among engineers using them.
- **Security benefits**: The same AI tooling has reportedly been used to resolve over 15,000 security issues.
- **Broader context**: This effort is part of what Boteju describes as scaling toward A$400 million in AI-driven value for the bank, with an emphasis on keeping "humans in the loop" rather than fully automating engineering work.
The evidence doesn't provide further detail on the specific AI tools/platforms used, implementation timeline, cost savings breakdown, or how these productivity claims were measured/verified — so I can't speak to those aspects beyond what's summarized above.</t>
  </si>
  <si>
    <t>[unsupported] with an emphasis on keeping "humans in the loop" rather than fully automating engineering work</t>
  </si>
  <si>
    <t>CBA has appointed a new CIO and CTO to boost its technology and AI strategy (Reuters) - peripherally relevant organizational context for the AI/engineering push</t>
  </si>
  <si>
    <t>18, 3</t>
  </si>
  <si>
    <t>Based on the evidence available, here's what's been reported regarding CBA's technology leadership changes tied to its AI strategy:
- **New CIO and CTO appointments**: Reuters reports that CBA has appointed a new Chief Information Officer (CIO) and Chief Technology Officer (CTO), with the explicit mandate to strengthen the bank's technology and AI strategy. The evidence provided does not include the names of these individuals or further details on their backgrounds.
- **Chief AI Officer role**: CBA has a dedicated Chief AI Officer, Ranil Boteju, who is leading efforts to scale AI value across the bank. Under his leadership, CBA reportedly:
  - Has driven adoption of AI coding agents among roughly 80% of the bank's engineers, tripling code output.
  - Used AI tools to help resolve over 15,000 security issues.
  - Is pursuing a "humans in the loop" approach to scaling what's described as A$400 million in AI-generated value.
**What the evidence doesn't cover**: The specific names of the newly appointed CIO/CTO, their start dates, prior experience, or how their roles are structured relative to the Chief AI Officer are not detailed in the available evidence. If you need those specifics, additional sourcing would be required.</t>
  </si>
  <si>
    <t>[unsupported] Under his leadership, CBA reportedly: Has driven adoption of AI coding agents among roughly 80% of the bank's engineers, tripling code output. ... Used AI tools to help resolve over 15,000 security issues.
[unsupported] who is leading efforts to scale AI value across the bank</t>
  </si>
  <si>
    <t>3, 16, 18, 21, 14</t>
  </si>
  <si>
    <t>Based on the evidence available, CBA has made the following technology leadership moves tied to its AI strategy:
- **New CIO and CTO appointments**: Reuters reports CBA has appointed a new Chief Information Officer and Chief Technology Officer specifically to strengthen the bank's technology and AI strategy.
- **Chief AI Officer role**: CBA has an existing Chief AI Officer, Ranil Boteju, who is leading efforts to scale AI value across the organization — reportedly around A$400 million — with a "humans in the loop" approach. Under his leadership, the bank states that roughly 80% of its engineers now use AI coding agents, which has reportedly tripled code output and helped resolve over 15,000 security issues.
The evidence does not provide further detail on who specifically was appointed as CIO/CTO, their backgrounds, or the reporting structure between these roles and the Chief AI Officer position. If you need those specifics, additional sourcing beyond what's here would be required.</t>
  </si>
  <si>
    <t>[unsupported] Under his leadership, the bank states that roughly 80% of its engineers now use AI coding agents</t>
  </si>
  <si>
    <t>3, 18, 14, 16, 21</t>
  </si>
  <si>
    <t>Based on the available evidence, CBA has made the following technology leadership moves tied to its AI strategy:
- **Appointed a new CIO and CTO** – Reuters reported that Commonwealth Bank of Australia named new Chief Information Officer and Chief Technology Officer appointments explicitly aimed at strengthening its technology and AI strategy.
- **Chief AI Officer role (Ranil Boteju)** – CBA has a dedicated Chief AI Officer, Ranil Boteju, who is leading efforts to scale AI across the bank. He has discussed scaling roughly A$400 million in AI-driven value with a "humans in the loop" approach, and notes that around 80% of the bank's engineers now use AI agents, which has helped triple code output and resolve more than 15,000 security issues.
The evidence does not provide further detail on who specifically was appointed as CIO/CTO, their backgrounds, or additional organizational changes beyond these two leadership points.</t>
  </si>
  <si>
    <t>Based on the evidence provided, there is no information that directly addresses how CBA is modernising its payment services. The available evidence covers unrelated topics: a lending facility extended to archTIS (a data security company that happens to be a CBA client), general commentary on CBA's profit trends ahead of an RBA decision, and a broader industry piece on AI replacing customer service roles at CBA and other large companies.
None of these sources discuss payment systems, infrastructure upgrades, digital wallets, real-time payments, or other initiatives typically associated with "modernising payment services." To properly answer this question, additional evidence specific to CBA's payments technology strategy, partnerships, or product launches would be needed.</t>
  </si>
  <si>
    <t>[unsupported] a lending facility extended to archTIS (a data security company that happens to be a CBA client)</t>
  </si>
  <si>
    <t>CBA has unveiled a new payout platform called PaidIt, launched ahead of the exit/phase-out of cheques
PaidIt combines recipient verification, communications and payment delivery within a single system
The answer mischaracterises the evidence entirely (describing an archTIS lending facility, RBA/profit commentary and AI replacing customer service roles), and so fails to use the directly relevant PaidIt item
Contextually relevant payments-security angle: banks warn agentic AI shopping agents could expose card details, weaken payment security and increase scams, fraud and data privacy risk, outpacing current fraud protections</t>
  </si>
  <si>
    <t>Based on the evidence available, the most directly relevant development is:
- **Launch of PaidIt**: CBA has unveiled a new payout platform called PaidIt, designed to get ahead of Australia's planned phase-out of cheques. The platform combines three functions into a single system: recipient verification, communications, and payment delivery. This appears aimed at businesses and institutions that currently rely on cheques for disbursements, giving them a digital alternative that also builds in identity/fraud checks and notification capabilities.
Beyond this, the evidence touches on related but broader technology initiatives rather than payments specifically:
- CBA is investing heavily in **AI infrastructure**, with its chief AI officer citing roughly A$400 million in AI-driven value, 80% of engineers using AI coding agents, and AI tools resolving over 15,000 security issues — this speaks to internal modernisation and security capability but isn't specific to payments.
- CBA is also **replacing some customer service roles with AI**, per Bloomberg reporting, which may indirectly touch customer-facing payment support but isn't detailed as a payments-specific initiative in the evidence.
- A separate industry-wide warning (from a coalition of banks, including likely CBA among others) flags risks from **agentic AI shopping tools** that could expose card details — this is a sector-level risk commentary rather than a CBA-specific payments initiative.
**What the evidence does not cover**: There's no detail here on CBA's broader payments roadmap — e.g., real-time payments infrastructure, NPP (New Payments Platform) integration, contactless/digital wallet features, merchant services, or international payment rails. If you're looking for a fuller picture of CBA's payments modernisation strategy, the evidence provided is limited mainly to the PaidIt/cheque-replacement initiative and adjacent AI investments.</t>
  </si>
  <si>
    <t>[unsupported] designed to get ahead of Australia's planned phase-out of cheques
[unsupported] This appears aimed at businesses and institutions that currently rely on cheques for disbursements, giving them a digital alternative that also builds in identity/fraud checks and notification capabilities.
[unsupported] its chief AI officer citing roughly A$400 million in AI-driven value
[unsupported] 80% of engineers using AI coding agents
[unsupported] a coalition of banks, including likely CBA among others
[unsupported] CBA is also replacing some customer service roles with AI, per Bloomberg reporting
[unsupported] There's no detail here on CBA's broader payments roadmap — e.g., real-time payments infrastructure, NPP (New Payments Platform) integration, contactless/digital wallet features, merchant services, or international payment rails.</t>
  </si>
  <si>
    <t>The evidence names specific banks in the coalition warning about AI shopping agents (NatWest, Bank of America, and four other banks) - the answer vaguely refers to 'a coalition of banks, including likely CBA among others' without noting the named participants or that CBA is not confirmed among them
The evidence frames the agentic AI concern as tools that make purchases on behalf of consumers advancing faster than industry safeguards, risking scams, fraud, and data privacy breaches - the answer mentions only card detail exposure and scams briefly</t>
  </si>
  <si>
    <t>Based on the available evidence, CBA's payment services modernisation centers on one clear initiative:
**PaidIt — a new payout platform**
- CBA has unveiled PaidIt, a payment system that combines recipient verification, communications, and payment delivery within a single platform.
- The timing is notable: it's being rolled out ahead of Australia's broader phase-out of cheques, suggesting CBA is positioning PaidIt as a digital replacement for cheque-based disbursements (e.g., payouts, refunds, or similar transactions).
**Adjacent technology context**
While not strictly a "payments" initiative, CBA's broader AI push appears to be part of the same modernisation push:
- The bank is scaling AI usage internally, with its chief AI officer citing roughly A$400 million in AI-driven value, 80% of engineers using AI agents to triple code output, and AI resolving over 15,000 security issues.
- Separately, CBA is also using AI to replace certain customer service roles, per reporting on broader industry trends.
These AI investments likely support the infrastructure, security, and efficiency behind platforms like PaidIt, though the evidence doesn't explicitly tie the AI initiatives to payments specifically.
**What the evidence doesn't cover**
The evidence does not provide details on PaidIt's technical architecture, rollout timeline, customer segments (retail vs. business), integration with existing systems (e.g., NPP - New Payments Platform), or how it compares to competitor offerings. If you're looking for specifics on these aspects, this evidence set doesn't address them.</t>
  </si>
  <si>
    <t>[unsupported] it's being rolled out ahead of Australia's broader phase-out of cheques
[unsupported] suggesting CBA is positioning PaidIt as a digital replacement for cheque-based disbursements (e.g., payouts, refunds, or similar transactions)
[unsupported] CBA's broader AI push appears to be part of the same modernisation push
[unsupported] its chief AI officer citing roughly A$400 million in AI-driven value
[unsupported] CBA is also using AI to replace certain customer service roles, per reporting on broader industry trends
[unsupported] These AI investments likely support the infrastructure, security, and efficiency behind platforms like PaidIt</t>
  </si>
  <si>
    <t>The evidence includes two items about a coalition of global banks warning that agentic AI shopping agents could increase scams, fraud, and data privacy/payment security risks (naming NatWest, Bank of America and four others); the answer does not mention this payment-security dimension at all, though it is only tangentially relevant since CBA is not named</t>
  </si>
  <si>
    <t>1, 2</t>
  </si>
  <si>
    <t>Based on the evidence gathered, here are the key risks associated with AI-powered shopping and payment agents, as flagged by a coalition of global banks (including NatWest and Bank of America):
- **Exposure of card details**: Agentic AI tools making purchases on a consumer's behalf may require sharing sensitive payment credentials, increasing the chance these details are exposed or mishandled.
- **Weakened payment security**: The mechanics of how AI agents authenticate and execute transactions could undermine existing safeguards built into traditional payment systems.
- **Increased scam risk**: Banks warn that AI commerce tools could be exploited by bad actors to facilitate fraudulent transactions, potentially making scams harder to detect or prevent.
- **Data privacy breaches**: Consumer data used by shopping agents (payment info, purchase history, personal details) could be at greater risk of being compromised or misused.
- **Fraud protections lagging behind innovation**: A central theme across the reporting is that the pace of AI agent development is outstripping the industry's ability to build adequate fraud detection and prevention safeguards, creating a gap banks are concerned about.
It's worth noting the evidence here reflects an industry-wide warning from a banking coalition rather than CBA-specific commentary on these particular risks. The other evidence about CBA (its AI chief scaling AI tools internally, and AI replacing customer service roles) relates to the bank's own use of AI rather than the shopping/payment agent risks the question asks about, so I haven't included those as directly relevant to this specific question.</t>
  </si>
  <si>
    <t>[unsupported] Agentic AI tools making purchases on a consumer's behalf may require sharing sensitive payment credentials, increasing the chance these details are exposed or mishandled.
[unsupported] The mechanics of how AI agents authenticate and execute transactions could undermine existing safeguards built into traditional payment systems.
[unsupported] AI commerce tools could be exploited by bad actors to facilitate fraudulent transactions, potentially making scams harder to detect or prevent.
[unsupported] Consumer data used by shopping agents (payment info, purchase history, personal details) could be at greater risk of being compromised or misused.
[unsupported] the pace of AI agent development is outstripping the industry's ability to build adequate fraud detection and prevention safeguards, creating a gap banks are concerned about
[unsupported] a coalition of global banks (including NatWest and Bank of America)</t>
  </si>
  <si>
    <t>Does not mention that the coalition comprises six banks in total (NatWest, Bank of America, and four others)</t>
  </si>
  <si>
    <t>1, 2, 3, 21, 17</t>
  </si>
  <si>
    <t>Based on the evidence gathered, here are the key risks flagged in connection with AI-powered shopping and payment agents:
- **Exposure of card and payment details**: A coalition of global banks (including NatWest and Bank of America) warns that when AI agents make purchases on a consumer's behalf, sensitive card information can be exposed in the process, potentially weakening the security protocols built into traditional payment flows.
- **Scams and fraud**: These banks specifically flag an increased risk of scams and fraud, as agentic AI tools that transact autonomously may be exploited by bad actors in ways that differ from (and are harder to detect than) traditional fraud patterns.
- **Data privacy breaches**: Beyond payment-specific risks, there's concern about broader data privacy breaches, since AI shopping agents often require access to personal and financial data to function.
- **Fraud protections lagging innovation**: A core theme across the coverage (Fox Business, Quartz) is that the pace of adoption of AI commerce tools is outstripping the industry's ability to build adequate safeguards — meaning security and fraud-prevention infrastructure hasn't caught up with how quickly these agents are being deployed.
On CBA specifically: the evidence doesn't directly address how CBA is managing these AI shopping/payment agent risks for its customers. The one CBA-related item in the evidence (comments from Chief AI Officer Ranil Boteju) relates to internal use of AI by engineers for coding and resolving security issues — this is about CBA's internal technology operations, not about risks tied to AI agents being used for consumer shopping or payments. So while there is general industry commentary on the risks you're asking about, the evidence does not cover CBA's specific exposure to or response to this particular risk category.</t>
  </si>
  <si>
    <t>[unsupported] agentic AI tools that transact autonomously may be exploited by bad actors in ways that differ from (and are harder to detect than) traditional fraud patterns
[unsupported] since AI shopping agents often require access to personal and financial data to function
[unsupported] the pace of adoption of AI commerce tools is outstripping the industry's ability to build adequate safeguards — meaning security and fraud-prevention infrastructure hasn't caught up with how quickly these agents are being deployed
[unsupported] A coalition of global banks (including NatWest and Bank of America)</t>
  </si>
  <si>
    <t>1, 2, 3, 14, 21</t>
  </si>
  <si>
    <t>Based on the gathered evidence, here are the key risks associated with AI-powered shopping and payment agents:
- **Exposure of card details and payment credentials**: A coalition of global banks (including NatWest and Bank of America) warns that agentic AI tools making purchases on a consumer's behalf could expose sensitive card information during the transaction process.
- **Weakened payment security**: These AI commerce tools may bypass or undermine existing authentication and fraud-prevention mechanisms that were designed around human-initiated transactions, not autonomous agents acting for consumers.
- **Increased scam and fraud risk**: Banks flag that AI shopping agents could become a new vector for scams, as fraudsters may exploit gaps in how these agents verify transactions or interact with merchants.
- **Data privacy breaches**: The automation of shopping and payment decisions by AI agents raises concerns about how consumer data is collected, stored, and shared across the AI tool, merchants, and payment networks.
- **Industry safeguards lagging behind innovation**: A core concern raised by the bank coalition is that the pace of AI commerce development is outstripping the fraud protections and regulatory frameworks currently in place, creating a gap where consumers may be inadequately protected.
The evidence does not provide CBA-specific details on how these risks apply directly to its own operations or customers, nor does it quantify potential financial exposure—the warnings cited are industry-wide statements from a coalition of banks rather than CBA-specific risk disclosures.</t>
  </si>
  <si>
    <t>[unsupported] These AI commerce tools may bypass or undermine existing authentication and fraud-prevention mechanisms that were designed around human-initiated transactions, not autonomous agents acting for consumers.
[unsupported] as fraudsters may exploit gaps in how these agents verify transactions or interact with merchants
[unsupported] raises concerns about how consumer data is collected, stored, and shared across the AI tool, merchants, and payment networks
[unsupported] the pace of AI commerce development is outstripping the fraud protections and regulatory frameworks currently in place
[unsupported] six banks / 'NatWest, Bank of America, and four other banks' coalition warning</t>
  </si>
  <si>
    <t>10, 7, 12, 19</t>
  </si>
  <si>
    <t>Based on the evidence gathered, Australian banks—including CBA—are facing the following challenges in mortgage lending:
- **Declining mortgage demand**: Reports indicate a downturn in mortgage lending volumes, which has historically been a lucrative business line for the major banks. This has led investors to question whether current valuations on Australia's big banks are justified.
- **Rising interest rate environment**: CBA, along with NAB and ANZ, forecast additional RBA rate hikes in 2023, with market expectations (per fast-money/speculative positioning) pointing to further tightening, potentially into November. Higher rates increase borrowing costs for mortgage customers, which can:
  - Dampen new loan demand
  - Pressure household affordability
  - Potentially increase mortgage stress or arrears among existing borrowers
- **Inflation pressures**: A "hot" inflation print was cited as a key driver reigniting rate hike expectations, suggesting banks are contending with a macro environment where persistent inflation is forcing further monetary tightening, compounding the pressure on mortgage volumes and borrower capacity.
Together, these points suggest the core challenge is a **squeeze between slowing loan demand and a higher-rate environment**, which together threaten the growth and profitability of the mortgage lending segment for Australian banks.
Note: The evidence does not provide specific figures (e.g., exact decline in mortgage volumes, arrears rates, or margin compression data) or CBA-specific commentary beyond its participation in the rate-hike forecast, so I can't quantify the scale of these challenges or detail how they differ across the major banks.</t>
  </si>
  <si>
    <t>[unsupported] forecast additional RBA rate hikes in 2023
[unsupported] Higher rates increase borrowing costs for mortgage customers, which can: Dampen new loan demand / Pressure household affordability / Potentially increase mortgage stress or arrears among existing borrowers
[unsupported] suggesting banks are contending with a macro environment where persistent inflation is forcing further monetary tightening, compounding the pressure on mortgage volumes and borrower capacity
[unsupported] the core challenge is a squeeze between slowing loan demand and a higher-rate environment, which together threaten the growth and profitability of the mortgage lending segment
[unsupported] Australian banks—including CBA—are facing the following challenges in mortgage lending</t>
  </si>
  <si>
    <t>The fourth evidence item (Simply Wall St. piece on CBA's profit uptick and the RBA countdown shifting its investment narrative) is not reflected — the answer does not mention CBA's profit uptick or the shift in its investment narrative
Evidence specifically notes investors 'bracing for tough times'/questioning rich valuations as a sentiment theme; the answer mentions valuation questioning but not the broader investor-sentiment framing of banks' outlook</t>
  </si>
  <si>
    <t>10, 7, 5, 2, 12</t>
  </si>
  <si>
    <t>Based on the available evidence, Australian banks—including CBA—are facing the following mortgage lending challenges:
- **Falling mortgage demand**: A reported downturn in mortgage lending volumes is causing investors to question the premium valuations of Australia's major banks, with lucrative home loan growth slowing.
- **Rising interest rate expectations**: CBA, along with NAB and ANZ, forecast additional RBA rate hikes following a hotter-than-expected inflation print. Separately, market pricing (per Bloomberg) points to growing bets on a November RBA hike as inflation remains above target. Further rate increases typically pressure mortgage affordability and can dampen borrower demand, while also squeezing net interest margins if funding costs rise faster than lending rates.
- **Higher funding costs**: One piece of evidence notes that elevated global interest rate expectations have pushed up banks' funding costs, which can compress profitability even where credit growth (e.g., non-mortgage lending) remains resilient.
The evidence does not provide specific data on CBA's mortgage book performance, arrears rates, market share shifts, or regulatory capital requirements related to mortgages—so a fuller picture of these dimensions isn't available from what's provided here.</t>
  </si>
  <si>
    <t>[unsupported] Further rate increases typically pressure mortgage affordability and can dampen borrower demand, while also squeezing net interest margins if funding costs rise faster than lending rates.
[unsupported] elevated global interest rate expectations have pushed up banks' funding costs
[unsupported] which can compress profitability even where credit growth (e.g., non-mortgage lending) remains resilient</t>
  </si>
  <si>
    <t>The Simply Wall St. item on Commonwealth Bank's profit uptick and the RBA countdown shifting its investment narrative is not reflected (the answer only notes CBA's rate-hike forecast, not the profit/valuation narrative angle)</t>
  </si>
  <si>
    <t>10, 7, 12, 16, 5</t>
  </si>
  <si>
    <t>Based on the gathered evidence, Australian banks—including Commonwealth Bank—are facing several challenges in mortgage lending:
- **Plummeting mortgage demand**: A downturn in mortgage lending volumes is weighing on sentiment, prompting investors to question whether the banks' current valuations are justified given this slowdown in a historically lucrative business line.
- **Rising interest rate expectations**: CBA, NAB, and ANZ have all forecast another RBA rate hike this year, following a hotter-than-expected inflation print. Separately, speculative investors are betting on a further hike as soon as November, as inflation remains above the RBA's target. Continued rate increases raise borrowing costs for mortgage customers, which can further dampen loan demand and pressure affordability.
- **Higher funding costs**: Elevated global interest rate expectations are also pushing up funding costs for banks themselves, which squeezes margins at a time when loan growth is already soft.
Taken together, the evidence points to a combination of weaker mortgage origination volumes and a rising rate environment (both for borrowers and for bank funding costs) as the key pressures facing Australian banks' mortgage businesses right now. The evidence provided doesn't give specific figures on CBA's mortgage book performance, arrears levels, or market share shifts, so I can't speak to those aspects.</t>
  </si>
  <si>
    <t>[unsupported] Continued rate increases raise borrowing costs for mortgage customers, which can further dampen loan demand and pressure affordability.
[unsupported] Elevated global interest rate expectations are also pushing up funding costs for banks themselves, which squeezes margins at a time when loan growth is already soft.
[contradicting] loan growth is already soft
[unsupported] A downturn in mortgage lending volumes is weighing on sentiment</t>
  </si>
  <si>
    <t>The fourth search result about Commonwealth Bank's profit uptick and shifting investment narrative ahead of the RBA decision is not reflected in the answer (the answer only notes it lacks CBA-specific figures)</t>
  </si>
  <si>
    <t>Based on the evidence gathered, the latest expectations point toward further monetary tightening by the Reserve Bank of Australia (RBA), driven by persistently high inflation:
- **Three of Australia's four major banks** — including CBA and NAB, joining ANZ — are now forecasting **another rate hike this year**, a shift that came after a hotter-than-expected inflation print reignited concerns about price pressures.
- **Market positioning in futures/speculative trading** shows increasing bets on a **rate hike at the RBA's November meeting**, with inflation still running above the central bank's target band.
- Broader commentary also notes that **global interest rate expectations have pushed up funding costs**, and bond yields in major markets are reflecting expectations for tighter central bank policy more broadly — reinforcing the domestic narrative of inflation remaining the key swing factor for the RBA's decisions.
In short, the prevailing expectation reflected in this evidence is for **at least one more RBA rate hike**, likely around the November meeting, with inflation data being the primary driver of that outlook. The evidence does not include any specific commentary on rate-cut expectations or a longer-term rate path beyond this near-term hike expectation.</t>
  </si>
  <si>
    <t>[unsupported] a hotter-than-expected inflation print
[unsupported] with inflation still running above the central bank's target band
[unsupported] reinforcing the domestic narrative of inflation remaining the key swing factor for the RBA's decisions
[unsupported] likely around the November meeting</t>
  </si>
  <si>
    <t>The downstream market impact noted in the evidence that mortgage demand has plummeted and investors are questioning the rich valuations of Australia's biggest banks amid the rate environment
The 'RBA Countdown' framing around Commonwealth Bank's investment narrative (Simply Wall St.)</t>
  </si>
  <si>
    <t>Based on the evidence gathered, here's what points to current rate expectations in Australia:
- **Three of the "Big Four" banks—including CBA itself, along with NAB and ANZ—had forecast another RBA rate hike** following a stronger-than-expected inflation print, signaling that major domestic banks saw upside risk to rates at that time.
- **Market speculation (per Bloomberg) pointed to a possible November RBA hike**, with investors positioning for the central bank to continue tightening in its fight against above-target inflation.
- Broader commentary notes that **bond yields and funding costs have been reflecting expectations for tighter central bank policy**, which has been a factor pushing investors toward higher-yielding dividend stocks as an alternative to less certain cash/short-term bond returns.
**Caveat on the evidence:** The news items provided are dated around the August–November period referencing inflation data and rate-hike forecasts, but there's no clear indication of the current date relative to these events, nor any follow-up on whether these anticipated hikes (August/November) actually occurred or what the RBA's subsequent stance has been. The evidence doesn't include more recent data on RBA decisions, current cash rate levels, or updated economist/market forecasts beyond these hike expectations. If you need the latest, most current outlook on Australian rates, this evidence set is incomplete and would need to be supplemented with more recent RBA statements or updated economic forecasts.</t>
  </si>
  <si>
    <t>[unsupported] Three of the "Big Four" banks—including CBA itself, along with NAB and ANZ
[unsupported] funding costs have been reflecting expectations for tighter central bank policy</t>
  </si>
  <si>
    <t>The effect of rate expectations on the banking sector / mortgage lending: Reuters reported a plunge in mortgage demand and investors questioning rich valuations of Australia's biggest banks
Inflation remaining above the RBA's target band as the driver of hike expectations is mentioned, but the specific 'hot inflation print' date context (Aug 27) and the 'RBA countdown' narrative shift for CBA are not detailed
Australian credit growth described as still resilient despite higher rate expectations</t>
  </si>
  <si>
    <t>Based on the evidence gathered, here's a summary of the latest expectations for Australian interest rates:
- **Rate hike expectations are building**: Three of Australia's four major banks—Commonwealth Bank of Australia (CBA), National Australia Bank (NAB), and ANZ—are forecasting another interest rate hike this year, following a hotter-than-expected inflation print.
- **Market positioning around a November move**: Speculative investors (per Bloomberg reporting) are increasingly betting the Reserve Bank of Australia (RBA) will raise rates again in November as inflation remains above the central bank's target.
- **Broader market tone**: Related commentary notes that "higher global interest rate expectations" are pushing up funding costs, and bond yields are reflecting expectations for tighter central bank policy more broadly—suggesting the tightening bias isn't isolated to Australia alone.
**Context specific to CBA**: Separately, the evidence notes that Australian bank investors (including those in CBA) are growing cautious as mortgage demand has fallen sharply, with questions being raised about whether current valuations for the major banks are justified given this slowdown in lending—a dynamic that could be influenced by, or run alongside, the rate environment.
In short, the latest expectations point toward **at least one more RBA rate hike**, with November being flagged as a likely timing window, driven by persistent above-target inflation.</t>
  </si>
  <si>
    <t>[unsupported] following a hotter-than-expected inflation print
[unsupported] Australian bank investors (including those in CBA) are growing cautious as mortgage demand has fallen sharply
[unsupported] a dynamic that could be influenced by, or run alongside, the rate environment
[unsupported] with November being flagged as a likely timing window</t>
  </si>
  <si>
    <t>The Simply Wall St. piece referencing an 'RBA Countdown' shifting Commonwealth Bank's investment narrative is not mentioned (though it is largely redundant/low-signal)
Mention that Australian credit growth remains resilient despite rate expectations</t>
  </si>
  <si>
    <t>15</t>
  </si>
  <si>
    <t>The evidence provided doesn't address this question. None of the items gathered—an article on profit and RBA rate expectations, a note on CBA's lending facility to archTIS, and a piece on AI replacing customer service jobs—speak to any initiatives by Commonwealth Bank to expand investment products, platforms, or opportunities for retail customers. I don't have information to answer what's actually being asked here.</t>
  </si>
  <si>
    <t>CommSec (CBA's brokerage arm) plans to offer more U.S. IPO listings to retail clients
Record demand for the SpaceX listing, with ~28,000 applications
CommSec's client base of nearly three million customers as the basis for expanding U.S. listing access
The answer wrongly claims the evidence is off-topic/absent, ignoring the CommSec article entirely</t>
  </si>
  <si>
    <t>The evidence provided doesn't cover this topic. The articles gathered relate to CBA's use of AI in customer service and engineering operations, a lending facility extended to an unrelated company (archTIS), and general commentary on profit and interest rate expectations — none of which address specific initiatives CBA may be undertaking to expand investment products, platforms, or opportunities for retail customers (e.g., brokerage services, managed funds, superannuation tools, or similar offerings).
If you're looking for details on that specific topic, additional research focused on CBA's retail investment/wealth products (such as CommSec, Pocket, or any newly announced investment platforms) would be needed.</t>
  </si>
  <si>
    <t>CommSec (CBA's brokerage arm) plans to offer more U.S. IPO listings to clients
Record demand for the SpaceX listing, with ~28,000 applications
CommSec's client base of nearly three million customers underpins the expansion
The answer incorrectly claims the evidence doesn't address the question, ignoring the CommSec/U.S. IPO article entirely</t>
  </si>
  <si>
    <t>The evidence gathered doesn't address this specific question. None of the available news, financial figures, or price movement data speak to CBA's initiatives around expanding investment products, platforms, or services for retail/individual investors (e.g., brokerage offerings, managed funds, superannuation products, or investment apps).
The items provided instead cover unrelated topics: AI's impact on customer service roles, a small lending facility extended to a third-party tech company (archTIS), general commentary on CBA's profit and interest rate outlook, and an interview about CBA's internal AI strategy for engineering and security operations.
If you're looking for specifics on retail investment offerings - such as new trading platforms, partnerships with fund managers, or changes to CBA's wealth management arm - I'd need different source material to answer that properly.</t>
  </si>
  <si>
    <t>CommSec (CBA's retail brokerage) plans to offer more U.S. IPO listings to its clients, directly expanding retail investment opportunities
Record demand for the SpaceX IPO offering, with ~28,000 applications from CommSec clients
CommSec's reach of nearly three million clients as the base for these expanded U.S. listing offerings
The answer incorrectly asserts no evidence addresses the question, ignoring the CommSec item entirely</t>
  </si>
  <si>
    <t>18, 2, 14, 1, 3</t>
  </si>
  <si>
    <t>14, 17, 21, 3</t>
  </si>
  <si>
    <t>Based on the available evidence, here's what's known about AI's impact on employment at Commonwealth Bank (CBA):
**Job displacement in customer service**
- Bloomberg reporting indicates AI is directly replacing customer service jobs at CBA, grouping it alongside Microsoft and Uber as companies where this trend is occurring.
**Leadership and strategic investment in AI**
- CBA has appointed new Chief Information Officer (CIO) and Chief Technology Officer (CTO) roles specifically to advance its technology and AI strategy, signaling continued organizational investment in AI capabilities at senior levels.
- The bank has a dedicated Chief AI Officer (Ranil Boteju), who has discussed scaling approximately A$400 million in AI-driven value.
**Changing nature of technical work (not elimination)**
- According to the Chief AI Officer, roughly 80% of CBA's engineers now use AI agents as part of their workflow, which has reportedly tripled code output and helped resolve over 15,000 security issues.
- This suggests AI is being positioned as a productivity multiplier for engineering staff ("humans in the loop") rather than a wholesale replacement in that function — though the evidence doesn't specify whether this has reduced headcount needs or changed hiring plans for engineers.
**What the evidence doesn't cover**
- There are no specific figures on the number or percentage of customer service jobs lost or changed at CBA due to AI.
- There's no data on net employment changes (e.g., whether AI-related efficiencies are offsetting with new hires in AI/tech roles, or resulting in overall headcount reduction).
- The evidence doesn't address severance, redeployment, or retraining programs for affected staff.
- Two of the five evidence items (on AI shopping agents and fraud risks) relate to industry-wide banking/fraud concerns, not CBA employment specifically, and aren't relevant to this question.
In summary, the evidence points to a two-track pattern: customer service roles are reportedly being displaced by AI, while technical/engineering roles are being augmented by AI tools rather than eliminated — alongside leadership investment to deepen AI integration. However, comprehensive employment figures or net workforce impact data are not available in the evidence provided.</t>
  </si>
  <si>
    <t>[unsupported] This suggests AI is being positioned as a productivity multiplier for engineering staff ("humans in the loop") rather than a wholesale replacement in that function
[unsupported] signaling continued organizational investment in AI capabilities at senior levels
[unsupported] technical/engineering roles are being augmented by AI tools rather than eliminated</t>
  </si>
  <si>
    <t>The Quartz item reports that companies have rehired workers who were laid off for AI because automation fell short — directly relevant context given CBA's widely reported reversal of AI-driven customer service layoffs; the answer does not mention this reversal/rehiring dynamic at all.
The Barchart item (Sam Altman saying OpenAI was 'pretty wrong' about AI job losses, and Goldman Sachs estimating AI is eliminating ~11,000 jobs per month) provides broader labor-market framing for AI-driven job displacement; the answer omits it entirely.</t>
  </si>
  <si>
    <t>2, 3, 7, 1, 18</t>
  </si>
  <si>
    <t>Based on the available evidence, here's what's known about AI's impact at CBA:
**What the evidence shows:**
- CBA has a dedicated Chief AI Officer (Ranil Boteju) leading a program described as scaling toward A$400 million in AI-driven value, with a stated "humans in the loop" approach
- Roughly 80% of the bank's engineers are reportedly using AI agents, which has tripled code output and helped resolve over 15,000 security issues
- CBA has also appointed new Chief Information Officer and Chief Technology Officer roles specifically to advance its technology and AI strategy
**What this suggests about employment:**
The evidence points to AI being deployed primarily as a productivity and augmentation tool for existing engineering and technology staff (boosting output, accelerating security work) rather than as an outright replacement. The "humans in the loop" framing suggests CBA is positioning AI as a complement to its workforce rather than a direct substitute — but the evidence doesn't include specific data on headcount changes, job cuts, hiring trends, or workforce restructuring tied to AI adoption.
**Gaps in the evidence:**
The available information does not address:
- Any net change in total employee numbers at CBA linked to AI
- Specific roles or departments facing reduction or redeployment due to AI
- Management commentary on workforce size projections tied to AI efficiency gains
- Union or employee reactions to AI deployment
If you're looking for concrete employment/headcount figures or restructuring announcements tied to AI, that data isn't present in the evidence gathered here.</t>
  </si>
  <si>
    <t>[unsupported] The evidence points to AI being deployed primarily as a productivity and augmentation tool for existing engineering and technology staff ... rather than as an outright replacement. The "humans in the loop" framing suggests CBA is positioning AI as a complement to its workforce rather than a direct substitute</t>
  </si>
  <si>
    <t>The Bloomberg headline explicitly states 'AI Is Replacing Customer Service Jobs at CBA' — i.e., direct evidence of AI-driven job displacement in CBA's customer service function, which the answer omits entirely and even contradicts by claiming the evidence shows no job-cut data
The Quartz item that companies have rehired workers laid off for AI because automation fell short — directly relevant context given CBA's widely reported reversal on customer service role cuts
Broader labor-market context from the Goldman Sachs/Barchart item (AI wiping out ~11,000 jobs per month) and Sam Altman's admission that OpenAI was 'pretty wrong' about AI job impacts
CBA is grouped alongside Microsoft and Uber as companies where AI is displacing customer service roles</t>
  </si>
  <si>
    <t>2, 18, 3, 1, 14</t>
  </si>
  <si>
    <t>## AI and Employment at Commonwealth Bank (CBA.AX)
The evidence points to a mixed picture — AI is reshaping both how work gets done and headcount in certain functions:
**Job reductions in customer service**
- A Bloomberg report specifically names CBA alongside Microsoft and Uber as companies where AI is replacing customer service jobs, indicating this function has been directly affected by automation.
**Productivity gains among engineers (not job losses)**
- CBA's chief AI officer, Ranil Boteju, describes a "humans in the loop" approach where roughly 80% of the bank's engineers now use AI agents, reportedly tripling code output and helping resolve over 15,000 security issues.
- This suggests AI is being used to augment and accelerate existing engineering staff's output rather than necessarily displacing them, though it also means fewer additional engineers may be needed to handle growing workloads.
**Leadership and strategic investment**
- CBA has appointed a new CIO and CTO specifically to advance its technology and AI strategy, and the bank has scaled AI investment to a reported A$400 million in value — signaling AI is a significant strategic priority with organizational implications across tech leadership roles.
**What the evidence doesn't cover**
- There are no specific figures on net job losses, headcount reductions, or hiring plans tied to AI at CBA beyond the customer service mention.
- No details on severance, restructuring costs, or union/employee response.
- No breakdown of which other departments (beyond customer service and engineering) are affected.
In short, the available evidence shows AI is displacing some customer service roles while simultaneously being used to boost productivity among engineering staff, alongside heavier leadership investment in AI strategy — but comprehensive employment impact data (like total jobs cut or created) is not provided in the evidence gathered.</t>
  </si>
  <si>
    <t>[unsupported] though it also means fewer additional engineers may be needed to handle growing workloads
[contradicting] the bank has scaled AI investment to a reported A$400 million in value
[unsupported] signaling AI is a significant strategic priority with organizational implications across tech leadership roles
[unsupported] This suggests AI is being used to augment and accelerate existing engineering staff's output rather than necessarily displacing them</t>
  </si>
  <si>
    <t>The Quartz headline noting companies have rehired workers laid off for AI because automation fell short — directly relevant context to CBA's reported reversal of AI-driven customer service job cuts
The Barchart item: Sam Altman saying OpenAI was 'pretty wrong' about AI jobs, and Goldman Sachs' warning that AI is still eliminating ~11,000 jobs per month — broader labor-market framing for the CBA case</t>
  </si>
  <si>
    <t>8, 5, 6, 19</t>
  </si>
  <si>
    <t>The evidence provided doesn't include a specific figure for CBA's latest dividend payout ratio. The articles gathered are general roundups of Australian dividend-paying stocks (including CBA as one example among several) and discuss yield and dividend reliability in broad terms, but none of them cite the actual payout ratio percentage or the underlying earnings/dividend-per-share data needed to calculate it.
To answer your question accurately, I'd need evidence that includes CBA's most recent dividend per share and corresponding earnings per share (or net profit and total dividends paid), which isn't present in what's been gathered here.</t>
  </si>
  <si>
    <t>The evidence includes an article specifically about Commonwealth Bank ('Did Profit Uptick and RBA Countdown Just Shift Commonwealth Bank's (ASX:CBA) Investment Narrative?') referencing a recent profit uptick and upcoming RBA decision, which the answer did not mention as potentially relevant context
Evidence notes CBA appears on a 'Dividend Powerhouses 3%+ Yield' screener, implying a dividend yield above 3% — a related data point the answer omitted
One screener referenced covers stocks with yields above 5% and 'well covered, growing payouts', which bears on dividend coverage/payout sustainability</t>
  </si>
  <si>
    <t>5, 6, 8, 16, 3</t>
  </si>
  <si>
    <t>The evidence provided doesn't actually include CBA's specific dividend payout ratio figure. The articles reference CBA as a dividend-paying stock (mentioned alongside other "dividend powerhouses" with yields above 3-5%), but none of them disclose the actual payout ratio (i.e., the percentage of earnings paid out as dividends).
To answer your question accurately, I'd need data such as CBA's most recent full-year or half-year dividend per share alongside its earnings per share for the same period, which isn't present in the gathered evidence. If you'd like, I can look for that specific figure separately.</t>
  </si>
  <si>
    <t>[unsupported] The articles reference CBA as a dividend-paying stock (mentioned alongside other "dividend powerhouses" with yields above 3-5%)</t>
  </si>
  <si>
    <t>The evidence indicates CBA appears on a 'Dividend Powerhouses 3%+ Yield' screener, implying a yield above 3% (and possibly in the 5%+ screener), which the answer only vaguely alludes to without attributing the screener criteria of 'well covered, growing payouts' - a payout-coverage related signal
One article headline notes a profit uptick and RBA countdown potentially shifting CBA's investment narrative, which the answer does not mention at all</t>
  </si>
  <si>
    <t>5, 6, 8, 19, 16</t>
  </si>
  <si>
    <t>The evidence provided does not contain specific figures on Commonwealth Bank's (CBA.AX) dividend payout ratio. While several articles reference CBA as a dividend-paying stock with a yield generally cited above 3%, none of them disclose the actual payout ratio (i.e., the percentage of earnings paid out as dividends) needed to answer this question accurately.
If you need this figure, it would typically be found in CBA's latest annual or half-year results/investor presentation, which isn't included in the evidence gathered here.</t>
  </si>
  <si>
    <t>[unsupported] several articles reference CBA as a dividend-paying stock with a yield generally cited above 3%</t>
  </si>
  <si>
    <t>The evidence mentions a screener criterion of 'well covered, growing payouts' for dividend stocks yielding above 5%, which hints at payout coverage but is not referenced in the answer
The answer does not note the article about CBA's profit uptick and RBA countdown potentially shifting its investment narrative, which was part of the evidence set</t>
  </si>
  <si>
    <t>19</t>
  </si>
  <si>
    <t>Based on the evidence provided, I don't have CBA's exact net profit figure for FY2025. The only directly relevant item is a Simply Wall St. piece referencing a "profit uptick" for Commonwealth Bank, but it does not include the specific dollar figure for net profit. The second piece of evidence relates to LGT, a different company, and is not relevant to this question.
To answer your question accurately, you'd need CBA's official FY2025 results announcement (typically released in August) or a financial data source reporting the precise statutory and/or cash net profit after tax figures.</t>
  </si>
  <si>
    <t>[unsupported] you'd need CBA's official FY2025 results announcement (typically released in August)</t>
  </si>
  <si>
    <t>The evidence headline also references an 'RBA Countdown' shifting CBA's investment narrative, which the answer does not mention at all</t>
  </si>
  <si>
    <t>11, 16, 3, 19, 5</t>
  </si>
  <si>
    <t>The evidence provided doesn't contain CBA's exact net profit figure for FY2025. The articles gathered touch on related topics—AI initiatives, a lending facility extension to a small-cap company, dividend yield comparisons, and a general reference to a "profit uptick"—but none disclose the specific net profit number for the fiscal year.
To get the exact figure, you'd want to check CBA's official FY2025 full-year results announcement (typically released in August) or its annual report, which would state statutory and cash net profit after tax figures precisely.</t>
  </si>
  <si>
    <t>[unsupported] check CBA's official FY2025 full-year results announcement (typically released in August) or its annual report, which would state statutory and cash net profit after tax figures precisely</t>
  </si>
  <si>
    <t>The one relevant evidence item (headline referencing a 'profit uptick' and RBA countdown shifting CBA's investment narrative) is acknowledged only in passing; the answer does not note the source (Simply Wall St.) or that the article may discuss the profit trend/narrative even though it lacks the exact figure</t>
  </si>
  <si>
    <t>11, 19, 16, 3, 5</t>
  </si>
  <si>
    <t>The evidence provided doesn't include CBA's exact net profit figure for FY2025. The results touch on AI initiatives, a lending facility to archTIS, dividend stock screens, and a general reference to a "profit uptick" — but none of these sources state the specific net profit number for the fiscal year. To get the exact figure, you'd need to check CBA's FY2025 annual results announcement or full-year financial report directly.</t>
  </si>
  <si>
    <t>The evidence headline references an RBA (interest rate) countdown as part of the shifting investment narrative, which the answer does not mention</t>
  </si>
  <si>
    <t>Based on the evidence gathered, I don't have information that directly answers this question. The search results returned don't mention any recent ASIC, APRA, or AUSTRAC regulatory actions, investigations, or penalties against Commonwealth Bank — one item relates to an unrelated lending facility CBA extended to a third-party company (archTIS), and the other is a general earnings/interest-rate commentary piece with no regulatory content.
To properly answer whether CBA has faced recent regulatory action, you'd want to check:
- ASIC's enforcement register and media releases for CBA-related actions
- APRA's recent correspondence, capital add-ons, or enforcement notices concerning CBA
- AUSTRAC's compliance updates (notably relevant given CBA's historical 2018 AUSTRAC settlement over anti-money laundering breaches)
- CBA's own ASX disclosures and annual report sections on regulatory and compliance matters
I'd recommend sourcing directly from those regulators' websites or CBA's latest investor disclosures for an accurate, up-to-date answer, since the evidence provided here doesn't cover this topic.</t>
  </si>
  <si>
    <t>[unsupported] CBA's historical 2018 AUSTRAC settlement over anti-money laundering breaches
[unsupported] the other is a general earnings/interest-rate commentary piece with no regulatory content</t>
  </si>
  <si>
    <t>Based on the evidence provided, there is no information indicating any recent regulatory action or penalties against CBA from ASIC, APRA, or AUSTRAC. The news items available cover unrelated topics—a lending facility extended to archTIS, CBA's internal use of AI tools and its AI chief's commentary, job impacts from AI adoption, and general commentary on CBA's profit and investment narrative tied to RBA rate expectations.
None of this evidence touches on compliance matters, enforcement actions, fines, licence conditions, or investigations by Australian regulators. If you're looking for CBA's regulatory track record with ASIC, APRA, or AUSTRAC, this evidence set doesn't provide that information, and I'd suggest checking regulator announcements or CBA's own disclosures directly for a complete picture.</t>
  </si>
  <si>
    <t>Based on the evidence provided, there's no information indicating any recent regulatory action, investigation, or penalties against CBA from ASIC, APRA, or AUSTRAC. The news gathered relates to other matters entirely — a lending facility CBA extended to a tech company (archTIS), commentary on CBA's profit outlook ahead of an RBA rate decision, and stories about CBA's use of AI (including an AI chief's comments on efficiency gains and reports of AI displacing customer service roles).
None of this touches on compliance, enforcement, or regulatory matters, so I can't answer your specific question from what's here. If you need this answered properly, it would require a targeted search of ASIC media releases, APRA enforcement actions, and AUSTRAC compliance notices specifically concerning CBA.</t>
  </si>
  <si>
    <t>The evidence gathered doesn't address CBA's climate commitments, net-zero targets, or fossil-fuel lending policies. The available news items cover unrelated topics—a lending facility extended to archTIS, CBA's AI initiatives, LGT's profit results, RBA interest rate speculation, and mortgage lending trends in Australia—none of which touch on the bank's environmental or climate-related policies.
To properly answer your question, you'd need information such as CBA's climate commitment disclosures (often found in its annual Climate Report or ESG/sustainability reporting), statements on net-zero emissions targets for its lending and investment portfolio, and any specific restrictions or phase-out timelines related to financing fossil-fuel projects (e.g., thermal coal, oil and gas). I don't have that data in the evidence provided, so I can't give you accurate specifics here.</t>
  </si>
  <si>
    <t>The evidence provided doesn't address CBA's climate commitments, net-zero targets, or fossil-fuel lending policies. The gathered material instead covers unrelated topics — a small business lending facility to archTIS, CBA's AI initiatives, interest rate speculation, LGT's earnings, and mortgage demand trends in Australia.
I don't have relevant information in this evidence set to answer your question about CBA's climate-related commitments. You would need to consult CBA's official sustainability/climate reports, its Institutional Credit Policy on fossil fuels, or dedicated ESG news coverage for details on its net-zero targets and fossil-fuel lending restrictions.</t>
  </si>
  <si>
    <t>Commonwealth Bank has launched a new payout platform called **PaidIt**, introduced ahead of the phase-out of cheque-based payments. According to the available evidence, PaidIt combines three functions within a single system:
- **Recipient verification**
- **Communications**
- **Payment delivery**
The evidence provided doesn't include further details such as a launch date, target customer segments, technical infrastructure, or how it compares to other real-time payment rails (e.g., NPP/PayID). If you need those specifics, let me know and I can look for additional information.</t>
  </si>
  <si>
    <t>CBA has launched **PaidIt**, a new payout platform introduced ahead of the phase-out of cheque-based payments. According to Retail Banker International, PaidIt combines three functions within a single system:
- **Recipient verification**
- **Communications**
- **Payment delivery**
The platform is designed to give the bank a unified way to disburse payments digitally, replacing the need for cheques as that payment method winds down.</t>
  </si>
  <si>
    <t>[unsupported] The platform is designed to give the bank a unified way to disburse payments digitally, replacing the need for cheques as that payment method winds down.</t>
  </si>
  <si>
    <t>Commonwealth Bank has introduced **PaidIt**, a new payout platform launched ahead of cheques being phased out. PaidIt combines three functions in one system: recipient verification, communications, and payment delivery — designed to replace the role cheques previously played for disbursing payments.</t>
  </si>
  <si>
    <t>[unsupported] designed to replace the role cheques previously played for disbursing payments</t>
  </si>
  <si>
    <t>16</t>
  </si>
  <si>
    <t>Based on the evidence available, here's what's known about this facility:
- **Nature of the facility:** Commonwealth Bank of Australia (CBA) provides archTIS Ltd (ASX:AR9, OTCQB:ARHLF) with a A$4 million lending facility.
- **Recent development:** archTIS has extended the maturity date of this existing facility, rather than establishing a new one.
- **Purpose:** The facility gives archTIS access to **non-dilutive working capital** — meaning funding that doesn't require issuing new shares and diluting existing shareholders.
- **Strategic context:** archTIS is drawing on this facility to help fund **contract execution and growth**, as the company sees increasing demand for its data security products.
The evidence provided is limited to this single news item and doesn't include further details such as the interest rate, specific terms/covenants of the facility, how much (if any) has been drawn down, or the original date the facility was first established. If you need those specifics, additional sourcing (such as archTIS's ASX filings or investor announcements) would be required.</t>
  </si>
  <si>
    <t>[unsupported] archTIS is drawing on this facility to help fund contract execution and growth</t>
  </si>
  <si>
    <t>The snippet notes the facility was 'previously due to...' (an earlier maturity date), which the answer does not mention — though the snippet is truncated at that point</t>
  </si>
  <si>
    <t>Based on the available evidence, here's what's known about this facility:
**The facility structure:**
- CBA provided archTIS Ltd (ASX:AR9) with an A$4 million lending facility
- It's described as **non-dilutive working capital** — meaning archTIS can access funds without issuing additional shares, preserving existing shareholders' ownership stakes
- CBA has recently **extended the maturity date** of this facility, rather than originating a new one
**Stated purpose:**
- To support **contract execution** — likely helping archTIS bridge cash flow needs tied to fulfilling customer contracts (common for smaller tech/software companies where contract payments may lag delivery costs)
- To support **growth** as archTIS responds to rising demand for its data security products
**What the evidence doesn't cover:**
The gathered evidence doesn't include specifics on:
- The interest rate, terms, or covenants attached to the facility
- The original date the facility was established or its original maturity date
- The new maturity date following the extension
- Whether the facility is secured, and if so, against what assets
- How much of the A$4 million has been drawn down versus remaining available
- Any further details on how CBA's broader institutional/business banking lending criteria applied to this arrangement
If you need those details, I'd recommend checking archTIS's ASX announcements directly, as the source material here is a brief Proactive news summary rather than the full company filing.</t>
  </si>
  <si>
    <t>[unsupported] likely helping archTIS bridge cash flow needs tied to fulfilling customer contracts (common for smaller tech/software companies where contract payments may lag delivery costs)
[unsupported] CBA provided archTIS Ltd (ASX:AR9) with an A$4 million lending facility</t>
  </si>
  <si>
    <t>The OTCQB ticker (ARHLF) and CBA's ASX ticker are not mentioned
The evidence's phrasing that the facility was 'previously due to...' (i.e., it had an earlier maturity date now superseded) is noted only generically</t>
  </si>
  <si>
    <t>Based on the available evidence, here's what's known about this facility:
- **Structure**: Commonwealth Bank of Australia (CBA) provided a lending facility worth **A$4 million** to archTIS Ltd (ASX:AR9, OTCQB:ARHLF), a data security software company.
- **Recent development**: archTIS has **extended the maturity date** of this existing facility, rather than entering into a new one. This keeps the credit line in place going forward.
- **Nature of the financing**: The facility is described as **non-dilutive working capital** — meaning archTIS can draw on it without issuing new shares, avoiding shareholder dilution.
- **Stated purpose**: archTIS indicates the facility supports **contract execution and growth**, as the company responds to rising demand for its data security products.
The evidence does not provide further details such as the interest rate, specific terms/covenants of the facility, the original date it was established, the new maturity date, or how much (if any) of the A$4 million has been drawn down. If you need those specifics, that information isn't present in what's been gathered here.</t>
  </si>
  <si>
    <t>[unsupported] archTIS has extended the maturity date of this existing facility, rather than entering into a new one.
[unsupported] meaning archTIS can draw on it without issuing new shares, avoiding shareholder dilution</t>
  </si>
  <si>
    <t>Based on the evidence available, here's what's confirmed about CBA's technology leadership changes:
**What we know:**
- Commonwealth Bank of Australia has appointed a **new Chief Information Officer (CIO)** and a **new Chief Technology Officer (CTO)**.
- The stated rationale tied to these appointments is to **boost the bank's technology and AI strategy**.
**What the evidence does not specify:**
- The names of the incoming (or outgoing) CIO and CTO
- Their professional backgrounds or prior roles
- The effective date of the appointments
- Specific details on what their mandates will involve beyond the general "technology and AI strategy" framing
- Whether these are newly created roles or replacements for departing executives
The second piece of evidence (on profit trends and RBA rate expectations) doesn't relate to this leadership question, so I haven't included it here.
If you need more specifics — such as who was appointed, their backgrounds, or the strategic details behind the move — that information isn't contained in the evidence provided and would require additional sourcing.</t>
  </si>
  <si>
    <t>The second evidence item is actually about CBA's AI strategy (chief AI officer Ranil Boteju scaling A$400m in AI value), which is relevant context for the technology/AI leadership structure - the answer mischaracterized it as being about profit trends and RBA rates and dismissed it
CBA has a chief AI officer role (Ranil Boteju), indicating a broader technology/AI executive leadership structure alongside the CIO and CTO</t>
  </si>
  <si>
    <t>Based on the evidence available, here's what can be confirmed:
**What the evidence shows:**
- Reuters reported that CBA has **appointed a new CIO (Chief Information Officer) and CTO (Chief Technology Officer)**, with the move framed as part of an effort to **boost the bank's technology and AI strategy**.
**What the evidence does not cover:**
The gathered evidence does not include specifics such as:
- The names of the incoming (or outgoing) CIO and CTO
- Their professional backgrounds or prior roles
- The exact timing/effective date of the appointments
- Reporting lines or how these roles fit into CBA's broader leadership structure
**Related but distinct context:**
Separately, the evidence mentions **Ranil Boteju, CBA's Chief AI Officer**, discussing how the bank is scaling AI use internally (e.g., AI agents used by ~80% of engineers, tripling code output, resolving security issues). This is a different executive role from the CIO/CTO changes and appears to be part of the same broader push into AI-driven technology transformation, though the evidence doesn't explicitly connect the two stories.
If you need the specific names or backgrounds of the new CIO/CTO, that detail isn't present in the evidence provided and would require additional sourcing.</t>
  </si>
  <si>
    <t>[unsupported] appears to be part of the same broader push into AI-driven technology transformation
[unsupported] resolve over 15,000 security issues</t>
  </si>
  <si>
    <t>The specific AI value figure cited in the second article (scaling A$400m in AI value with humans in the loop) and the detail of over 15,000 security issues resolved - the answer mentions the AI context generally but omits the A$400m value figure and the specific 15,000 figure</t>
  </si>
  <si>
    <t>Based on the evidence available, here's what I can confirm about CBA's leadership changes in technology roles:
**Confirmed change:**
- CBA has appointed a **new Chief Information Officer (CIO) and Chief Technology Officer (CTO)**, explicitly framed as a move to strengthen the bank's technology and AI strategy (per Reuters). However, the evidence does not include the names of the incoming or outgoing executives, the effective date of the appointments, or further detail on their specific mandates.
**Related context (not a CIO/CTO change, but relevant to CBA's tech/AI leadership structure):**
- CBA has a separate **Chief AI Officer**, Ranil Boteju, who has spoken publicly about scaling roughly A$400 million in AI-related value, with around 80% of the bank's engineers reportedly using AI agents to boost code output and address security issues. This role appears distinct from the CIO/CTO appointments mentioned above.
**Gap in evidence:**
The research provided does not give specifics on who was appointed, who they replaced, their backgrounds, or the strategic rationale beyond the general reference to "boosting technology, AI strategy." If you need those specifics (names, start dates, prior roles), that would require additional sourcing beyond what's here.</t>
  </si>
  <si>
    <t>[unsupported] around 80% of the bank's engineers reportedly using AI agents to boost code output
[unsupported] This role appears distinct from the CIO/CTO appointments mentioned above.</t>
  </si>
  <si>
    <t>The specific figure that CBA's engineers using AI agents triple code output and resolved over 15,000 security issues (answer generalized to 'boost code output and address security issues')</t>
  </si>
  <si>
    <t>Based on the available evidence, here's what's disclosed about CBA's A$400 million in AI-driven value:
**Key details from CBA's Chief AI Officer (Ranil Boteju):**
- **Engineering productivity**: Roughly 80% of CBA's engineers now use AI agents as part of their workflow, which the bank says has **tripled code output**.
- **Security operations**: AI tools have helped resolve **over 15,000 security issues**, pointing to efficiency gains in cyber/risk functions.
- **"Humans in the loop" approach**: The bank is framing this as augmentation rather than full automation—AI agents assist staff rather than operate independently, at least in the engineering and security use cases highlighted.
**Separately reported context:**
- A Bloomberg report notes that AI is also being used to **replace customer service roles** at CBA (alongside Microsoft and Uber), suggesting workforce/cost reduction in front-line service functions is part of the broader AI strategy—though this isn't explicitly tied to the A$400 million figure in the evidence provided.
**What's missing from this evidence:**
The specific breakdown of how the A$400 million figure is calculated—e.g., how much comes from cost savings (headcount, infrastructure), revenue generation, risk/fraud reduction, or productivity gains—is not detailed in the sources gathered. The interview headline references the figure, but the actual methodology or segment-by-segment contribution isn't spelled out in what's available. If you need the precise composition of that A$400 million (e.g., % from customer service automation vs. engineering productivity vs. security), that would require pulling the full interview content or CBA's own investor disclosures, which aren't included here.</t>
  </si>
  <si>
    <t>[unsupported] "Humans in the loop" approach: The bank is framing this as augmentation rather than full automation—AI agents assist staff rather than operate independently, at least in the engineering and security use cases highlighted.
[unsupported] pointing to efficiency gains in cyber/risk functions
[unsupported] suggesting workforce/cost reduction in front-line service functions is part of the broader AI strategy</t>
  </si>
  <si>
    <t>The evidence mentions CBA appointed a new CIO and CTO to boost its technology and AI strategy (Reuters), which the answer does not reference at all as organizational context for scaling AI value</t>
  </si>
  <si>
    <t>Based on the available evidence, here's what's disclosed about CBA's A$400 million AI value:
**Key driver cited: Developer productivity**
- CBA's Chief AI Officer Ranil Boteju indicates that roughly 80% of the bank's engineers now use AI coding agents
- This has reportedly **tripled code output** among those engineers
- The same AI tooling has helped resolve **over 15,000 security issues**
**Important caveat on the evidence**
The internal news tool only surfaced an interview *about* the A$400 million figure rather than a detailed breakdown of how that specific number is calculated or allocated across use cases. The evidence doesn't specify:
- Whether the A$400 million is realized savings, projected value, revenue impact, or a combination
- A line-item breakdown (e.g., how much comes from engineering productivity vs. other areas like customer service or fraud detection)
- The time period over which this value was generated or is expected to be generated
**Adjacent context from other evidence**
- Separate reporting (Bloomberg) notes AI is replacing customer-service roles at CBA, suggesting cost/headcount reduction in that function may be part of the broader AI value narrative, though it isn't explicitly tied to the A$400 million figure in the evidence provided.
- The "humans in loop" framing in the interview title suggests CBA is positioning its AI deployment as augmentative/supervised rather than fully autonomous, which may be relevant context but isn't quantified.
**Bottom line:** The evidence points to engineering/developer productivity gains (tripled code output across 80% of engineers) and security issue resolution as components behind the A$400 million figure, but a full breakdown of how that total is constructed isn't available in the evidence gathered. If you need the granular methodology, the original Retail Banker International interview would likely contain more detail than what's captured here.</t>
  </si>
  <si>
    <t>[unsupported] The evidence points to engineering/developer productivity gains (tripled code output across 80% of engineers) and security issue resolution as components behind the A$400 million figure
[unsupported] The same AI tooling has helped resolve over 15,000 security issues
[unsupported] suggesting cost/headcount reduction in that function may be part of the broader AI value narrative
[unsupported] the original Retail Banker International interview would likely contain more detail than what's captured here</t>
  </si>
  <si>
    <t>The Reuters item noting CBA appointed a new CIO and CTO to boost its technology and AI strategy is not mentioned at all in the answer</t>
  </si>
  <si>
    <t>3, 16, 14, 19, 21</t>
  </si>
  <si>
    <t>Based on the available evidence, here's what's disclosed about CBA's A$400 million AI value figure:
**What's confirmed:**
- CBA's chief AI officer, Ranil Boteju, has publicly discussed scaling A$400 million in value from AI initiatives, with an emphasis on keeping "humans in the loop" rather than full automation.
- Two specific drivers are mentioned:
  - **Engineering productivity**: Roughly 80% of CBA's engineers now use AI agents, which has tripled code output.
  - **Security operations**: AI agents have helped resolve over 15,000 security issues.
- Separately, there are reports (via Bloomberg) that AI is being used to replace customer service roles at CBA, suggesting cost reduction in customer service functions may be another contributing factor, though the evidence doesn't quantify this piece.
**What the evidence does not cover:**
The gathered evidence does not provide a full breakdown of how the A$400 million figure is calculated — for example, it doesn't specify how much comes from productivity gains versus cost savings versus risk/fraud reduction versus other areas, nor does it clarify whether this is an annual run-rate figure, a cumulative total, or a forward-looking target. The archTIS item (a small lending facility CBA extended to a data-security vendor) appears unrelated to CBA's own AI value-generation program.
If you want the precise methodology or category breakdown behind the A$400 million figure, that level of detail isn't present in what's been gathered here.</t>
  </si>
  <si>
    <t>[unsupported] with an emphasis on keeping "humans in the loop" rather than full automation
[unsupported] suggesting cost reduction in customer service functions may be another contributing factor
[unsupported] The archTIS item (a small lending facility CBA extended to a data-security vendor) appears unrelated to CBA's own AI value-generation program.</t>
  </si>
  <si>
    <t>The evidence mentions CBA appointed a new CIO and CTO to boost its technology and AI strategy (Reuters), which the answer does not reference as part of the broader AI push</t>
  </si>
  <si>
    <t>Based on the available evidence, here's what's known specifically about CBA's use of AI in software engineering:
- **Scale of adoption**: According to CBA's chief AI officer Ranil Boteju, roughly **80% of the bank's engineers now use AI agents** as part of their workflow.
- **Productivity impact**: This AI agent usage has reportedly helped **triple code output** among engineers using the tools.
- **Security benefits**: The same AI-assisted approach has been credited with helping resolve **over 15,000 security issues**, suggesting the tools are being used not just for writing code but also for identifying and fixing vulnerabilities.
- **Stated value and approach**: Boteju frames this within a broader effort to scale roughly **A$400 million in AI-derived value** across the bank, with an explicit "humans in the loop" philosophy — meaning AI agents are deployed to augment engineers rather than operate fully autonomously.
- **Leadership changes supporting this push**: CBA has appointed a **new CIO and CTO**, reportedly to help drive its technology and AI strategy forward, which may relate to how engineering AI initiatives are managed and scaled going forward (though the evidence doesn't detail specifics of what these new leaders will do differently).
**What the evidence doesn't cover**: There are no further details in the gathered material on which specific AI tools or platforms CBA's engineers are using (e.g., GitHub Copilot, custom in-house models, etc.), how the "triple code output" figure was measured, timelines for the A$400 million value target, or how this productivity push relates to the separate reports of AI replacing customer service roles at CBA. If you need those specifics, that would require additional research beyond what's here.</t>
  </si>
  <si>
    <t>[unsupported] an explicit "humans in the loop" philosophy — meaning AI agents are deployed to augment engineers rather than operate fully autonomously
[unsupported] a broader effort to scale roughly A$400 million in AI-derived value across the bank
[unsupported] suggesting the tools are being used not just for writing code but also for identifying and fixing vulnerabilities</t>
  </si>
  <si>
    <t>Based on the available evidence, here's what's known about CBA's use of AI in software engineering specifically:
- **AI agents for coding**: According to comments from Ranil Boteju, CBA's Chief AI Officer, approximately 80% of the bank's engineers are now using AI agents as part of their workflow.
- **Productivity gains**: This AI agent adoption has reportedly helped engineers triple their code output.
- **Security applications**: The same AI tooling has been used to resolve over 15,000 security issues, suggesting AI is being applied not just to writing new code but also to remediation and security-related engineering work.
- **Investment scale**: This fits within a broader figure cited of A$400 million in "AI value" the bank is scaling, which Boteju frames as being achieved with a "humans in the loop" approach rather than full automation.
- **Leadership changes**: CBA has also appointed a new CIO and CTO, reportedly to help boost its technology and AI strategy, which may have implications for how engineering/AI initiatives are run going forward, though the evidence doesn't detail specifics of their mandate.
What the evidence does **not** provide: details on which specific AI tools or platforms CBA is using (e.g., whether built in-house or licensed from vendors), how the tripled code output or A$400 million figure were measured, timelines for the rollout, or further specifics on the new CIO/CTO's technology agenda. The other search results (AI job displacement at CBA's customer service functions, AI shopping agent fraud risks, archTIS loan facility, broader AI industry commentary) are not directly relevant to the software engineering productivity question and have been excluded.</t>
  </si>
  <si>
    <t>[unsupported] This fits within a broader figure cited of A$400 million in "AI value" the bank is scaling
[contradicting] **Investment scale**
[unsupported] The same AI tooling has been used to resolve over 15,000 security issues</t>
  </si>
  <si>
    <t>Based on the evidence, CBA has made the following technology leadership moves tied to its AI strategy:
- **New CIO and CTO appointments**: Reuters reports CBA has appointed a new Chief Information Officer and Chief Technology Officer specifically to strengthen the bank's technology and AI strategy, though the evidence doesn't specify who was appointed or their backgrounds.
- **Chief AI Officer role**: CBA has a dedicated Chief AI Officer, Ranil Boteju, who is overseeing the scaling of the bank's AI initiatives. In an interview, Boteju discussed:
  - Scaling roughly A$400 million in AI-driven value for the bank
  - A "humans in the loop" approach to AI deployment
  - Around 80% of the bank's engineers now using AI agents/coding assistants, which has tripled code output
  - AI tools being used to resolve more than 15,000 security issues
The evidence doesn't provide further detail on the specific names, start dates, or prior experience of the new CIO/CTO hires, nor does it clarify whether the Chief AI Officer role is newly created or pre-existing. If you need those specifics, that would require additional reporting beyond what's provided here.</t>
  </si>
  <si>
    <t>[unsupported] Around 80% of the bank's engineers now using AI agents/coding assistants</t>
  </si>
  <si>
    <t>Based on the available evidence, CBA has made the following technology leadership changes tied to its AI strategy:
- **Appointment of a new CIO and CTO**: Reuters reported that CBA appointed a new Chief Information Officer and Chief Technology Officer specifically to strengthen the bank's technology and AI strategy.
- **Chief AI Officer role**: CBA has a dedicated Chief AI Officer, Ranil Boteju, who is leading the bank's efforts to scale AI value (reportedly around A$400 million) across the organization, with a focus on keeping humans "in the loop." Under his leadership, the bank has reported that roughly 80% of its engineers now use AI agents, which has tripled code output and helped resolve over 15,000 security issues.
Beyond these specific leadership appointments, the evidence does not provide further detail on organizational restructuring, reporting lines, or additional executive hires related to CBA's AI initiatives.</t>
  </si>
  <si>
    <t>[unsupported] Under his leadership, the bank has reported that roughly 80% of its engineers now use AI agents, which has tripled code output and helped resolve over 15,000 security issues.</t>
  </si>
  <si>
    <t>Based on the available evidence, here's what CBA is doing to modernise its payment services:
- **PaidIt platform**: CBA has launched a new payout platform called PaidIt, designed to get ahead of Australia's planned cheque phase-out. It combines three functions in one system — recipient verification, communications, and payment delivery — aiming to streamline how payouts are made and received.
- **AI integration across operations**: While not payments-specific, CBA's broader AI push (reportedly targeting A$400 million in value, per comments from its chief AI officer) includes AI agents used by engineers to boost productivity and resolve security issues. This AI infrastructure likely underpins fraud detection and security improvements relevant to payments, though the evidence doesn't detail specific payment-related AI applications.
- **Industry-level caution on agentic AI**: CBA is part of a coalition of global banks flagging risks from AI shopping agents that make purchases on consumers' behalf, warning these tools could expose card details and create new fraud and data privacy vulnerabilities. This suggests CBA is engaging in industry-wide discussions about security standards as payment technology evolves.
The evidence provided is fairly limited on payments modernisation specifically — most of it centers on PaidIt and the broader AI strategy. There's no detail here on other potential initiatives (e.g., real-time payment rails, digital wallet integration, or infrastructure upgrades) that CBA may also be pursuing, so I can't give a fuller picture beyond these points.</t>
  </si>
  <si>
    <t>[unsupported] CBA is part of a coalition of global banks flagging risks from AI shopping agents
[unsupported] This suggests CBA is engaging in industry-wide discussions about security standards as payment technology evolves.
[unsupported] This AI infrastructure likely underpins fraud detection and security improvements relevant to payments
[unsupported] designed to get ahead of Australia's planned cheque phase-out
[unsupported] CBA's broader AI push (reportedly targeting A$400 million in value, per comments from its chief AI officer)</t>
  </si>
  <si>
    <t>The evidence names specific coalition members (NatWest, Bank of America, and four other banks) and notes the warning that AI commerce tools are advancing faster than industry safeguards/fraud protections — the answer mentions the coalition but omits the 'outpacing safeguards' framing and the named participants</t>
  </si>
  <si>
    <t>Based on the evidence available, CBA's main payment modernisation initiative is the launch of **PaidIt**, a new payout platform unveiled ahead of the phase-out of cheques in Australia. Key features reported include:
- **Recipient verification** – built-in checks to confirm payment recipients
- **Integrated communications** – messaging capabilities tied to the payment process
- **Payment delivery** – all combined within a single, unified system
This appears to be positioned as a digital alternative for payout-style transactions (e.g., disbursements, refunds, or bulk payments) that would traditionally have relied on cheques.
Separately, CBA is also applying **AI more broadly across its operations** — including customer service automation and AI-assisted software engineering (reportedly used by around 80% of its engineers to boost code output and address security issues) — though the evidence doesn't specify whether these AI initiatives are directly tied to payment infrastructure specifically, or are more general operational/technology upgrades.
The evidence doesn't provide further detail on other specific payment modernisation efforts (e.g., real-time payments infrastructure, NPP integration, or international payment capabilities), so I can't speak to those areas based on what's available here.</t>
  </si>
  <si>
    <t>[unsupported] the phase-out of cheques in Australia
[unsupported] This appears to be positioned as a digital alternative for payout-style transactions (e.g., disbursements, refunds, or bulk payments) that would traditionally have relied on cheques.
[unsupported] CBA's main payment modernisation initiative is the launch of PaidIt
[unsupported] including customer service automation</t>
  </si>
  <si>
    <t>The evidence includes two items about a coalition of global banks (NatWest, Bank of America and four others) warning that agentic AI shopping agents could expose card details, increase scam/fraud risk, weaken payment security and outpace existing fraud protections — the answer makes no mention of this payments-security context at all (though CBA is not explicitly named in these items, so relevance is marginal).</t>
  </si>
  <si>
    <t>Based on the evidence gathered, a coalition of global banks—including NatWest and Bank of America—has raised specific concerns about AI-powered shopping and payment agents. The key risks identified are:
- **Exposure of card details**: Agentic AI tools that make purchases on behalf of consumers could expose sensitive payment card information during the transaction process.
- **Weakened payment security**: The mechanics of how these AI agents interact with payment systems may undermine existing security protocols designed to protect transactions.
- **Increased scam and fraud risk**: Banks warn that consumers using these tools face heightened exposure to scams and fraudulent activity.
- **Data privacy breaches**: The agents' handling of personal and financial data creates potential vulnerabilities for privacy breaches.
- **Pace mismatch with industry safeguards**: A central theme in the banking coalition's warning is that AI commerce tools are advancing faster than the fraud protections and security measures designed to govern them—meaning the technology is outpacing the industry's ability to safeguard against its risks.
The evidence does not provide details on how CBA specifically is responding to or mitigating these particular risks around AI shopping/payment agents (as opposed to CBA's broader AI initiatives in areas like code generation, security issue resolution, or customer service). If you're looking for CBA's specific risk-management stance or exposure related to agentic AI commerce, that information isn't present in the available evidence.</t>
  </si>
  <si>
    <t>[unsupported] The mechanics of how these AI agents interact with payment systems may undermine existing security protocols designed to protect transactions.
[unsupported] The agents' handling of personal and financial data creates potential vulnerabilities for privacy breaches.
[unsupported] a coalition of global banks—including NatWest and Bank of America—has raised specific concerns</t>
  </si>
  <si>
    <t>The evidence notes the coalition comprises six banks (NatWest, Bank of America, and four others); the answer names only two without indicating the coalition's size</t>
  </si>
  <si>
    <t>Based on the evidence gathered, a coalition of global banks (including NatWest and Bank of America) has flagged specific concerns about AI shopping and payment agents, which are directly relevant to CBA.AX as a bank operating in this space:
**Key risks identified:**
- **Scams and fraud:** AI agents making autonomous purchases on a consumer's behalf could be manipulated or exploited, increasing exposure to fraudulent transactions.
- **Exposed card details:** The mechanics of agentic AI commerce may require sharing payment credentials in ways that weaken traditional safeguards around card data.
- **Data privacy breaches:** These tools may handle sensitive personal and financial information outside the protections consumers typically expect from direct bank-to-merchant transactions.
- **Safeguards lagging innovation:** The banking coalition's central warning is that AI commerce tools are advancing faster than the industry's fraud-protection and security infrastructure can adapt, creating a gap where bad actors could exploit new attack surfaces before defenses catch up.
**Relevance to CBA specifically:** The evidence shows CBA is actively investing in AI internally—its chief AI officer has discussed scaling roughly A$400 million in AI value, with a large share of engineers using AI agents and thousands of security issues resolved through these tools. This suggests CBA is both exposed to the broader industry risk (as a payments provider whose customers may use third-party AI shopping agents) and is simultaneously building its own AI/security capabilities, including new platforms like PaidIt and recent CIO/CTO appointments focused on technology and AI strategy.
**What the evidence doesn't cover:** There are no specific figures, statements, or disclosures from CBA quantifying its exposure to AI-agent-related fraud losses, nor details on what specific countermeasures CBA has implemented against this particular threat (as distinct from its general AI investment). The evidence also doesn't indicate whether CBA is part of the banking coalition issuing this warning.</t>
  </si>
  <si>
    <t>[unsupported] AI agents making autonomous purchases on a consumer's behalf could be manipulated or exploited, increasing exposure to fraudulent transactions.
[unsupported] The mechanics of agentic AI commerce may require sharing payment credentials in ways that weaken traditional safeguards around card data.
[unsupported] These tools may handle sensitive personal and financial information outside the protections consumers typically expect from direct bank-to-merchant transactions.
[unsupported] creating a gap where bad actors could exploit new attack surfaces before defenses catch up
[unsupported] CBA is both exposed to the broader industry risk (as a payments provider whose customers may use third-party AI shopping agents)
[unsupported] its chief AI officer has discussed scaling roughly A$400 million in AI value, with a large share of engineers using AI agents and thousands of security issues resolved through these tools
[unsupported] including new platforms like PaidIt and recent CIO/CTO appointments focused on technology and AI strategy</t>
  </si>
  <si>
    <t>10, 7, 5, 2, 12, 1, 16, 6, 9, 13</t>
  </si>
  <si>
    <t>Based on the evidence available, the key challenges Australian banks—including CBA—are facing in mortgage lending center on two related pressures:
- **Declining mortgage demand:** Reuters reported that investors are growing cautious about the rich valuations of Australia's major banks because of a downturn in mortgage lending activity, raising concerns about the durability of a key profit driver for these institutions.
- **Rising interest rate expectations:** CBA, along with NAB and ANZ, forecast further RBA rate hikes, and separate reporting noted speculative bets building around a potential November rate increase as inflation remains above target. Higher rates generally increase funding costs for banks and can further dampen borrower demand and affordability, compounding the mortgage lending slowdown.
The evidence does not provide additional specifics (such as data on loan volumes, arrears, competition dynamics, or regulatory changes) beyond these two themes, so a fuller picture of the mortgage lending challenges isn't available from the material gathered.</t>
  </si>
  <si>
    <t>[unsupported] Higher rates generally increase funding costs for banks and can further dampen borrower demand and affordability, compounding the mortgage lending slowdown.
[unsupported] raising concerns about the durability of a key profit driver for these institutions</t>
  </si>
  <si>
    <t>The Simply Wall St. item on Commonwealth Bank's profit uptick and the RBA countdown shifting its investment narrative is not reflected (though it is only tangentially relevant and largely headline-only)</t>
  </si>
  <si>
    <t>10, 7, 12, 16, 5, 2, 1, 6, 9, 13</t>
  </si>
  <si>
    <t>Based on the evidence available, Australian banks—including CBA—are facing a few specific pressures in mortgage lending:
- **Falling mortgage demand**: Reporting from late August highlighted that investors are growing cautious about the rich valuations of Australia's major banks precisely because mortgage lending demand has been declining, raising questions about future profitability in this core business line.
- **Rising interest rate expectations squeezing borrowers**: CBA, along with NAB and ANZ, forecast additional RBA rate hikes due to persistently high inflation. Separately, speculative markets were pricing in a further RBA hike in November. Higher rates typically dampen mortgage demand further by increasing borrowing costs and reducing loan serviceability for customers, while also potentially increasing the risk of borrower stress on existing mortgage books.
- **Higher funding costs**: One piece of evidence notes that elevated global interest rate expectations have pushed up funding costs for Australian banks generally, which can compress margins on lending products like mortgages even as rates rise.
The evidence provided doesn't go into detail on other commonly discussed mortgage-related challenges—such as competition/discounting in the mortgage market, refinancing churn, arrears or delinquency trends, or regulatory capital requirements—so I can't speak to those aspects based on what's here.</t>
  </si>
  <si>
    <t>[unsupported] Higher rates typically dampen mortgage demand further by increasing borrowing costs and reducing loan serviceability for customers, while also potentially increasing the risk of borrower stress on existing mortgage books.
[unsupported] One piece of evidence notes that elevated global interest rate expectations have pushed up funding costs for Australian banks generally
[unsupported] which can compress margins on lending products like mortgages even as rates rise
[unsupported] mortgage lending demand has been declining, raising questions about future profitability in this core business line</t>
  </si>
  <si>
    <t>The Simply Wall St. item on Commonwealth Bank's profit uptick and the RBA countdown shifting CBA's investment narrative is not reflected in the answer (though it is only marginally relevant to mortgage lending challenges)</t>
  </si>
  <si>
    <t>Based on the available evidence, here's what's being signaled about the RBA rate outlook:
- **Three of Australia's four major banks (CBA, NAB, and ANZ) have forecast another rate hike this year**, following a stronger-than-expected inflation print that reignited hike expectations.
- **Markets are increasingly pricing in a November RBA rate hike**, with speculative investors (per Bloomberg) betting that persistent above-target inflation will force the central bank's hand.
- Broader commentary notes that **bond yields and global rate expectations are adjusting to a "tighter policy" environment**, which is feeding into how income/dividend stocks (including CBA) are being framed by analysts.
- Separately, there are signs of **stress in the mortgage/lending market**, with investors noting a slowdown in mortgage demand — a dynamic that ties back to the higher rate environment weighing on borrowing activity.
In short, the latest consensus reflected in this evidence points toward **one more RBA rate hike expected before year-end, likely around the November meeting**, driven by inflation remaining above target. The evidence doesn't provide specific rate levels (e.g., exact basis points) or RBA's own official guidance/statements — only market and bank-economist forecasts.</t>
  </si>
  <si>
    <t>[unsupported] a dynamic that ties back to the higher rate environment weighing on borrowing activity
[unsupported] with speculative investors (per Bloomberg) betting that persistent above-target inflation will force the central bank's hand
[unsupported] which is feeding into how income/dividend stocks (including CBA) are being framed by analysts</t>
  </si>
  <si>
    <t>Australian credit growth is described as still resilient, and higher rate expectations have pushed up funding costs for businesses (from the dividend stock articles)
Bank valuations are being questioned by investors amid the mortgage lending downturn (the answer mentions the slowdown but not the valuation concerns)</t>
  </si>
  <si>
    <t>Based on the evidence available, here's what's being signaled about Australian interest rate expectations:
- **Hawkish shift in bank forecasts**: Three of Australia's four major banks — including CBA itself, along with NAB and ANZ — were forecasting another RBA rate hike, triggered by a hotter-than-expected inflation print.
- **Market positioning for November hike**: Speculative investors/traders were increasingly pricing in a November RBA rate increase, reflecting continued concern that inflation remains above the central bank's target.
- **Broader tightening backdrop**: Related commentary notes that "higher global interest rate expectations" have been pushing up funding costs, and bond yields across major markets have been reflecting expectations for tighter central bank policy more broadly — reinforcing the domestic hike expectations.
**What this isn't covering**: The evidence doesn't include any more recent updates (e.g., whether the hike occurred, was paused, or reversed), nor does it give a current RBA cash rate level or the latest official RBA statements/guidance. It's also silent on inflation data releases after the initial "hot" print, so there's no confirmation of where expectations stand today versus this hawkish window in 2023.</t>
  </si>
  <si>
    <t>[unsupported] versus this hawkish window in 2023
[unsupported] triggered by a hotter-than-expected inflation print</t>
  </si>
  <si>
    <t>The knock-on effect on Australian banks: investors questioning rich valuations of major banks as mortgage lending/demand plummets amid the rate environment (Reuters, Aug 25)
Mention that Australian credit growth remains resilient despite the rate backdrop</t>
  </si>
  <si>
    <t>Based on the evidence gathered, the latest expectations point toward further monetary tightening by the Reserve Bank of Australia (RBA):
- **Rate hike consensus building**: Three of Australia's four major banks — CBA, NAB, and ANZ — are now forecasting another RBA rate hike this year, a shift that followed a hotter-than-expected inflation print.
- **November meeting in focus**: Market speculation (per Bloomberg reporting on "fast money" positioning) has increasingly centered on a potential rate hike at the RBA's November meeting, as inflation remains above the central bank's target.
- **Inflation is the key driver**: The common thread across this coverage is that persistent, above-target inflation is what's pushing both bank economists and speculative investors toward pricing in tighter policy rather than cuts or a pause.
- **Broader market read-through**: Commentary around dividend stocks (including CBA itself) references "tighter policy signals" and rising bond yields across major markets, consistent with an environment where investors are preparing for higher-for-longer rates rather than imminent easing.
Taken together, the evidence suggests the prevailing expectation at the time of this reporting was for **at least one more RBA rate hike**, with November flagged as a likely timing window, driven by sticky inflation data. The evidence does not provide specifics on the expected rate level, magnitude of the hike, or guidance beyond this year.</t>
  </si>
  <si>
    <t>[unsupported] a shift that followed a hotter-than-expected inflation print
[unsupported] with November flagged as a likely timing window
[unsupported] persistent, above-target inflation is what's pushing both bank economists and speculative investors toward pricing in tighter policy rather than cuts or a pause</t>
  </si>
  <si>
    <t>The evidence notes a downturn in mortgage lending/plummeting mortgage demand pressuring Australian bank valuations — a rate-related market consequence not mentioned in the answer
Mention that higher global interest rate expectations have pushed up funding costs while Australian credit growth remains resilient</t>
  </si>
  <si>
    <t>Based on the evidence gathered, here's what's known about AI's effect on employment at Commonwealth Bank:
**Direct job impact**
- Bloomberg reports that AI is replacing customer service jobs at CBA, alongside similar shifts at Microsoft and Uber.
- Earlier this year, CBA was reported to have cut customer service roles after deploying an AI voice bot, though (per the broader "companies rehire workers" trend noted in the evidence) some firms have walked back AI-driven layoffs when automation underdelivered — it's not specified in the evidence whether CBA was among those reversing course.
**AI deployment inside the bank**
- CBA's chief AI officer, Ranil Boteju, describes scaling roughly A$400 million in "AI value" using a human-in-the-loop model rather than pure automation.
- About 80% of CBA's engineers reportedly use AI coding agents, which the bank says has tripled code output and helped resolve more than 15,000 security issues — pointing to AI augmenting technical/engineering staff rather than simply replacing them.
- The bank has appointed new CIO/CTO leadership specifically to advance its technology and AI strategy, signaling continued investment in AI-related roles at the leadership and technical level.
**Net picture**
The evidence suggests a mixed employment effect: contraction in customer-service-type roles attributed to AI automation, alongside expansion or reinforcement of technical/engineering roles where AI is used as a productivity tool with human oversight. The evidence does not provide specific figures on net headcount change, total roles affected, or forward guidance on workforce size, so a full quantitative picture isn't available from what's been gathered.</t>
  </si>
  <si>
    <t>[unsupported] Earlier this year, CBA was reported to have cut customer service roles after deploying an AI voice bot
[unsupported] signaling continued investment in AI-related roles at the leadership and technical level
[unsupported] alongside expansion or reinforcement of technical/engineering roles where AI is used as a productivity tool with human oversight
[unsupported] pointing to AI augmenting technical/engineering staff rather than simply replacing them</t>
  </si>
  <si>
    <t>The Barchart/Goldman Sachs item on the broader labor-market context (Sam Altman saying OpenAI was 'pretty wrong' about AI jobs; Goldman Sachs estimating AI is wiping out ~11,000 jobs per month) is not reflected in the answer</t>
  </si>
  <si>
    <t>2, 3, 7, 1, 18, 9, 12, 10, 21, 8</t>
  </si>
  <si>
    <t>Based on the evidence available, here's what's known about AI's impact on employment at Commonwealth Bank:
**Productivity gains among engineering staff:**
- CBA's chief AI officer, Ranil Boteju, reports that roughly 80% of the bank's engineers now use AI agents as part of their workflow
- This has reportedly tripled code output among that engineering group
- AI tools have also been used to resolve over 15,000 security issues
- The bank frames this as a "humans in the loop" approach, scaling toward A$400 million in AI-driven value
**Leadership/organizational changes:**
- CBA has appointed a new CIO and CTO specifically to strengthen its technology and AI strategy, signaling continued institutional investment in AI capability at senior levels
**What the evidence does not cover:**
The evidence does not provide specifics on:
- Net headcount changes (hiring vs. layoffs) at CBA tied to AI adoption
- Job losses or redundancies attributable to AI within the bank
- Which roles or departments beyond engineering have been affected
- CBA-specific commentary on broader economy-wide AI job displacement trends (there is a general Goldman Sachs estimate cited about AI wiping out ~11,000 jobs per month, but this is not specific to CBA or even the banking sector)
In short, the available information points to AI boosting engineer productivity and prompting new tech leadership hires at CBA, but there's no data here on overall employment levels, job cuts, or workforce restructuring directly linked to AI at the bank.</t>
  </si>
  <si>
    <t>[unsupported] there is a general Goldman Sachs estimate cited about AI wiping out ~11,000 jobs per month, but this is not specific to CBA or even the banking sector
[unsupported] CBA has appointed a new CIO and CTO specifically to strengthen its technology and AI strategy, signaling continued institutional investment in AI capability at senior levels</t>
  </si>
  <si>
    <t>The Bloomberg headline explicitly states AI is replacing customer service jobs at CBA (alongside Microsoft and Uber) — the answer omits this directly relevant point and instead claims the evidence contains no information on job losses/roles affected at CBA
The Quartz item on companies rehiring workers laid off for AI because automation fell short — relevant context given CBA's widely reported reversal of AI-driven customer service role cuts, not mentioned at all
Sam Altman/OpenAI conceding they were 'pretty wrong' about AI job impacts — relevant counterpoint framing omitted (the answer only cites the Goldman Sachs 11,000 jobs/month figure)</t>
  </si>
  <si>
    <t>2, 18, 3, 1, 14, 19, 16, 21, 17, 7</t>
  </si>
  <si>
    <t>Based on the available evidence, here's what's specifically relevant to AI's effect on employment at CBA:
**Job displacement in customer service**
- A Bloomberg report indicates AI is replacing customer service jobs at CBA, grouping it alongside Microsoft and Uber as companies where this shift is occurring.
**Productivity gains among engineering staff**
- CBA's chief AI officer, Ranil Boteju, has described scaling roughly A$400 million in AI value while keeping "humans in the loop." According to this account, about 80% of the bank's engineers now use AI agents, which has reportedly tripled code output and helped resolve more than 15,000 security issues. This points to AI augmenting (rather than replacing) technical/engineering roles, at least in the framing given by CBA's own AI leadership.
**Leadership restructuring around AI strategy**
- CBA has appointed new Chief Information Officer and Chief Technology Officer roles specifically to boost its technology and AI strategy, signaling organizational investment in AI capability at the leadership level.
**What the evidence does not clarify**
- There are no specific figures in this evidence set on the scale of job losses or reductions in customer service headcount at CBA, no timeline for these changes, and no detail on severance, redeployment, or retraining programs for affected workers.
- The broader context pieces (Goldman Sachs estimating ~11,000 AI-related job losses per month, Sam Altman's comments on AI jobs, companies rehiring workers after automation "fell short") relate to the general AI employment debate but aren't tied specifically to CBA, so they can't be used to quantify CBA's situation.
In short: the evidence points to a dual pattern at CBA — AI displacing some customer service jobs while simultaneously being used to boost productivity among engineering/technical staff — but it does not provide numbers on net employment impact, affected headcount, or hiring/firing trends at the bank.</t>
  </si>
  <si>
    <t>[unsupported] CBA has appointed new Chief Information Officer and Chief Technology Officer roles specifically to boost its technology and AI strategy
[unsupported] Goldman Sachs estimating ~11,000 AI-related job losses per month
[unsupported] This points to AI augmenting (rather than replacing) technical/engineering roles</t>
  </si>
  <si>
    <t>The Quartz headline's implication that companies have rehired workers laid off for AI because automation fell short is mentioned only as 'general context' and not connected to CBA, even though CBA was a widely reported example of exactly this reversal
Goldman Sachs' estimate of 11,000 AI-related job losses per month and Sam Altman's 'pretty wrong' remark are acknowledged but explicitly set aside rather than used as framing context</t>
  </si>
  <si>
    <t>The evidence provided doesn't include CBA's actual dividend payout figures (e.g., dividend per share, EPS, or a calculated payout ratio percentage). While several articles reference CBA as a dividend-paying stock with "well covered" or above-3%/5% yields, none of them state the specific payout ratio.
I can't give you a reliable figure based on what's here — you'd need CBA's latest full-year or half-year results (dividend per share vs. earnings per share) to calculate or confirm the current payout ratio.</t>
  </si>
  <si>
    <t>[unsupported] several articles reference CBA as a dividend-paying stock with "well covered" or above-3%/5% yields</t>
  </si>
  <si>
    <t>Does not mention the article on CBA's profit uptick and RBA countdown potentially shifting its investment narrative, which could hint at recent earnings/dividend context
Does not note that CBA appears on a 'Dividend Powerhouses 3%+ Yield' screener specifically (the answer generalizes the yield references without attributing CBA to the 3%+ screener)</t>
  </si>
  <si>
    <t>The evidence provided doesn't actually contain CBA's dividend payout ratio (i.e., the percentage of earnings paid out as dividends). The news items reference CBA's dividend yield in a general sense (as part of broader "Australian dividend stocks" screeners) but don't give the specific payout ratio figure, dividend per share, or earnings per share needed to calculate or confirm it.
To answer this accurately, you'd need CBA's latest full-year or half-year results showing dividends per share versus earnings per share (or the payout ratio as disclosed in the annual report/investor presentation), which isn't present in the evidence gathered here.</t>
  </si>
  <si>
    <t>[unsupported] The news items reference CBA's dividend yield in a general sense (as part of broader "Australian dividend stocks" screeners)</t>
  </si>
  <si>
    <t>The evidence mentions CBA appears in screeners for dividend yields of 3%+ and 5%+ (Dividend Powerhouses screener), which gives an approximate yield range the answer could have surfaced
The evidence references a 'well covered, growing payouts' criterion for the 5%+ screener, an indirect indication of payout sustainability
An article on CBA's recent profit uptick and RBA countdown potentially shifting its investment narrative was not mentioned</t>
  </si>
  <si>
    <t>The evidence provided does not contain CBA's exact net profit figure for FY2025. None of the search results include specific financial results data (e.g., the dollar figure for cash net profit or statutory net profit) from the bank's FY2025 annual results announcement—they instead cover unrelated topics like a lending facility to archTIS, AI initiatives, dividend stock screeners, and a general reference to a "profit uptick" without a figure.
To get the exact net profit number, you would need to check CBA's official FY2025 results announcement (typically released in August) or a detailed financial data source reporting the statutory and cash net profit after tax figures directly from that release.</t>
  </si>
  <si>
    <t>[unsupported] you would need to check CBA's official FY2025 results announcement (typically released in August)</t>
  </si>
  <si>
    <t>The evidence headline references an RBA countdown/rate decision context alongside the profit uptick, which the answer does not mention</t>
  </si>
  <si>
    <t>The evidence provided does not include CBA's exact net profit figure for FY2025. While one headline references a "profit uptick," none of the gathered sources state a specific dollar figure for full-year net profit. To answer this question accurately, you would need to consult CBA's official FY2025 annual results announcement or full-year financial statements, which would report the exact statutory and cash net profit after tax figures.</t>
  </si>
  <si>
    <t>The evidence gathered does not contain any information about CBA's climate commitments, net-zero targets, or fossil-fuel lending policies. The available news items cover unrelated topics—AI adoption at the bank, a lending facility extended to archTIS, interest rate speculation, mortgage demand trends, and broader banking sector commentary—none of which address the bank's environmental or climate-related strategy.
To answer your question properly, you'd need evidence specifically on CBA's sustainability reporting, climate risk disclosures, or statements regarding fossil-fuel financing restrictions, which isn't present in what's been provided here.</t>
  </si>
  <si>
    <t>The evidence provided doesn't address this question. None of the gathered material touches on CBA's climate policy, net-zero commitments, emissions-reduction targets, or any restrictions on fossil-fuel financing — the articles instead cover unrelated topics like a lending facility to archTIS, CBA's AI initiatives, interest rate speculation, mortgage demand trends, and general profit commentary.
To properly answer your question, you'd need to look at CBA's dedicated climate disclosures, such as its annual Climate Report, its Group environmental and social framework/credit policies covering sectors like oil, gas, coal, and thermal power, and its stated net-zero by 2050 ambition with associated interim targets — none of which appear in the evidence set here.</t>
  </si>
  <si>
    <t>[unsupported] its stated net-zero by 2050 ambition with associated interim targets
[unsupported] you'd need to look at CBA's dedicated climate disclosures, such as its annual Climate Report, its Group environmental and social framework/credit policies covering sectors like oil, gas, coal, and thermal power</t>
  </si>
  <si>
    <t>9, 14, 16, 3, 11, 13, 5, 1, 18, 6</t>
  </si>
  <si>
    <t>Commonwealth Bank has introduced **PaidIt**, a new payout platform designed to replace cheque-based payments ahead of cheques being phased out. According to Retail Banker International, PaidIt combines three functions within a single system:
- **Recipient verification**
- **Communications**
- **Payment delivery**
This integrated approach is positioned as CBA's solution for handling payouts that would traditionally have been made by cheque, consolidating what were previously separate steps into one platform.</t>
  </si>
  <si>
    <t>[unsupported] consolidating what were previously separate steps into one platform
[unsupported] This integrated approach is positioned as CBA's solution for handling payouts that would traditionally have been made by cheque
[unsupported] a new payout platform designed to replace cheque-based payments</t>
  </si>
  <si>
    <t>Commonwealth Bank has introduced **PaidIt**, a new payout platform designed to replace cheque-based payments ahead of the broader industry exit from cheques. According to the evidence, PaidIt combines three functions within a single system:
- **Recipient verification**
- **Communications**
- **Payment delivery**
This integrated approach is positioned as CBA's solution for handling payouts that would traditionally have relied on paper cheques, consolidating what might otherwise be separate steps into one platform.</t>
  </si>
  <si>
    <t>[unsupported] a new payout platform designed to replace cheque-based payments
[unsupported] This integrated approach is positioned as CBA's solution for handling payouts that would traditionally have relied on paper cheques
[unsupported] consolidating what might otherwise be separate steps into one platform</t>
  </si>
  <si>
    <t>3, 16, 21, 14, 1, 2, 17, 13, 18, 15</t>
  </si>
  <si>
    <t>Based on the available evidence, here's what's known about CBA's A$400 million AI value creation:
**Specific details disclosed:**
- Ranil Boteju, CBA's Chief AI Officer, has outlined the figure in an interview, linking it to engineering productivity gains and security improvements
- **80% of the bank's engineers** now use AI agents as part of their workflow
- This has helped **triple code output** among engineering teams
- AI tools have been used to **resolve over 15,000 security issues**
- CBA has also recently appointed a **new CIO and CTO** specifically to bolster its technology and AI strategy, suggesting the bank is investing further in leadership to scale these initiatives
**What the evidence does NOT clarify:**
The gathered evidence doesn't break down exactly how the A$400 million figure is calculated — it's not clear what proportion comes from engineering productivity/efficiency gains versus security cost-avoidance, customer service automation, or other operational areas. Separately, Bloomberg reporting notes that AI is also being used to replace customer service roles at CBA, which may be a related but distinct value driver not quantified in the A$400 million figure.
**Caveat on broader context:**
The evidence also includes wider industry commentary (e.g., Goldman Sachs estimates on AI-related job losses, bank warnings about AI agent fraud risks) which isn't specific to CBA's value-generation claim but reflects the broader scrutiny AI spending and AI-driven job changes are receiving across the sector.
In short, the public details tie the A$400 million mainly to engineering/developer productivity (via AI coding agents) and security issue resolution, but the full methodology or breakdown behind the headline number isn't detailed in the evidence provided.</t>
  </si>
  <si>
    <t>[unsupported] Ranil Boteju, CBA's Chief AI Officer, has outlined the figure in an interview, linking it to engineering productivity gains and security improvements
[unsupported] CBA has also recently appointed a new CIO and CTO specifically to bolster its technology and AI strategy, suggesting the bank is investing further in leadership to scale these initiatives
[unsupported] the public details tie the A$400 million mainly to engineering/developer productivity (via AI coding agents) and security issue resolution
[unsupported] Bloomberg reporting notes that AI is also being used to replace customer service roles at CBA, which may be a related but distinct value driver not quantified in the A$400 million figure</t>
  </si>
  <si>
    <t>The evidence headline emphasizes scaling the A$400m AI value with 'humans in the loop' — the human oversight/human-in-the-loop aspect of CBA's approach is not mentioned in the answer
The Bloomberg item frames CBA alongside Microsoft and Uber as part of a cross-company trend of AI replacing customer service jobs; the answer mentions CBA only</t>
  </si>
  <si>
    <t>3, 16, 14, 19, 21, 1, 2, 17, 13, 18</t>
  </si>
  <si>
    <t>Based on the available evidence, the clearest detail on CBA's A$400 million AI value figure comes from an interview with Ranil Boteju, the bank's Chief AI Officer, in Retail Banker International. The reported value appears to stem from a few specific operational gains:
- **Software engineering productivity**: Around 80% of CBA's engineers now use AI coding agents, which the bank says has tripled code output.
- **Security operations**: AI tools have been used to resolve more than 15,000 security issues.
- **Human-in-the-loop design**: Boteju frames the program as keeping humans involved in AI-assisted workflows rather than fully automating them, which is presented as central to how the value is being captured responsibly.
Separately, a Bloomberg report notes that CBA, along with firms like Microsoft and Uber, is using AI to replace certain customer service roles — suggesting workforce/cost efficiency is likely part of the broader AI value story, though the evidence doesn't quantify how much of the A$400 million this contributes specifically.
CBA has also recently appointed a new CIO and CTO specifically to advance its technology and AI strategy (per Reuters), indicating the initiative is still scaling organizationally.
**What the evidence does not cover**: There is no detailed breakdown in the provided material of exactly how the A$400 million figure is calculated (e.g., cost savings vs. revenue generation vs. productivity value), nor a line-item attribution across business units. If you need the precise methodology or composition of that figure, the evidence here doesn't go into that level of detail beyond the engineering productivity and security examples cited.</t>
  </si>
  <si>
    <t>[unsupported] The reported value appears to stem from a few specific operational gains: [software engineering productivity, security operations, human-in-the-loop design]
[unsupported] Boteju frames the program as keeping humans involved in AI-assisted workflows rather than fully automating them, which is presented as central to how the value is being captured responsibly.
[unsupported] suggesting workforce/cost efficiency is likely part of the broader AI value story
[unsupported] indicating the initiative is still scaling organizationally</t>
  </si>
  <si>
    <t>Audit of every claim judge_groundedness flagged as unsupported (k=5 all cells, k=10 non-reused cells)</t>
  </si>
  <si>
    <t>Audit Category</t>
  </si>
  <si>
    <t>Meaning</t>
  </si>
  <si>
    <t># Claims</t>
  </si>
  <si>
    <t>% of Flagged</t>
  </si>
  <si>
    <t>supported_verbatim</t>
  </si>
  <si>
    <t>Judge false positive (evidence states it; quote verified)</t>
  </si>
  <si>
    <t>inference_beyond_evidence</t>
  </si>
  <si>
    <t>Inference beyond evidence</t>
  </si>
  <si>
    <t>outside_knowledge</t>
  </si>
  <si>
    <t>Outside knowledge (not in evidence)</t>
  </si>
  <si>
    <t>cross_article_conflation</t>
  </si>
  <si>
    <t>Cross-article conflation</t>
  </si>
  <si>
    <t>meta_commentary</t>
  </si>
  <si>
    <t>Meta commentary about the evidence</t>
  </si>
  <si>
    <t>Total</t>
  </si>
  <si>
    <t>Method: a second JUDGE_MODEL pass re-checked each flagged claim against that answer's exact evidence text and had to copy a verbatim supporting quote for 'supported_verbatim'; a deterministic substring check confirmed every quote exists in the evidence (0 failed).</t>
  </si>
  <si>
    <t>Caveat: the quote proves the text exists, not that it fully entails the claim - a few 'supported' rows add small extras (e.g. 'Australia's planned phase-out' vs 'ahead of cheque exit'). The audit is itself one LLM pass.</t>
  </si>
  <si>
    <t># Retrieved</t>
  </si>
  <si>
    <t>Flagged Claim</t>
  </si>
  <si>
    <t>Judge issue type</t>
  </si>
  <si>
    <t>Verified Supporting Quote</t>
  </si>
  <si>
    <t>Audit Reason</t>
  </si>
  <si>
    <t>suggesting the AI is being used not just for writing new code but also for identifying and remediating vulnerabilities or technical debt</t>
  </si>
  <si>
    <t>unsupported</t>
  </si>
  <si>
    <t>The evidence only says AI agents resolved over 15,000 security issues; the interpretation about vulnerabilities or technical debt is the answer's own speculation.</t>
  </si>
  <si>
    <t>with Boteju emphasizing a "humans in the loop" approach, meaning AI augments rather than fully automates engineering decisions</t>
  </si>
  <si>
    <t>The headline mentions 'humans in loop' but nothing attributes an emphasis to Boteju or defines it as augmenting rather than automating engineering decisions.</t>
  </si>
  <si>
    <t>The second piece of evidence (on AI replacing customer service jobs) relates to a different part of CBA's AI strategy</t>
  </si>
  <si>
    <t>This is commentary about the evidence set's relevance rather than a factual claim drawn from the articles.</t>
  </si>
  <si>
    <t>with an emphasis on keeping "humans in the loop" rather than fully automating engineering tasks</t>
  </si>
  <si>
    <t>The headline mentions "with humans in loop" but the evidence never frames it as an emphasis on avoiding full automation of engineering tasks.</t>
  </si>
  <si>
    <t>AI is also displacing customer service roles at CBA, which is a related but distinct application of AI at the bank (not software engineering specifically)</t>
  </si>
  <si>
    <t>Bloomberg headline states AI is replacing customer service jobs at CBA.</t>
  </si>
  <si>
    <t>with an emphasis on keeping "humans in the loop" rather than fully automating engineering work</t>
  </si>
  <si>
    <t>The headline mentions "with humans in loop" but the evidence never frames it as Boteju's emphasis on avoiding full automation of engineering work.</t>
  </si>
  <si>
    <t>Under his leadership, CBA reportedly: Has driven adoption of AI coding agents among roughly 80% of the bank's engineers, tripling code output. ... Used AI tools to help resolve over 15,000 security issues.</t>
  </si>
  <si>
    <t>80% of the bank's engineers use AI agents to triple code output and resolve over 15,000 security issues</t>
  </si>
  <si>
    <t>Article 1 states 80% of engineers use AI agents to triple code output and resolve over 15,000 security issues.</t>
  </si>
  <si>
    <t>who is leading efforts to scale AI value across the bank</t>
  </si>
  <si>
    <t>CBA AI chief on scaling A$400m in AI value with humans in loop</t>
  </si>
  <si>
    <t>Article 1 identifies Boteju as CBA's chief AI officer discussing scaling AI value at the bank.</t>
  </si>
  <si>
    <t>Under his leadership, the bank states that roughly 80% of its engineers now use AI coding agents</t>
  </si>
  <si>
    <t>80% of the bank's engineers use AI agents to triple code output</t>
  </si>
  <si>
    <t>Article 1 states 80% of CBA's engineers use AI agents under the chief AI officer's account.</t>
  </si>
  <si>
    <t>a lending facility extended to archTIS (a data security company that happens to be a CBA client)</t>
  </si>
  <si>
    <t>Evidence states archTIS extended a CBA lending facility and sells data security products, but calling archTIS a "CBA client" is an added characterization not stated in the evidence.</t>
  </si>
  <si>
    <t>designed to get ahead of Australia's planned phase-out of cheques</t>
  </si>
  <si>
    <t>Headline states the platform was unveiled ahead of the cheque exit.</t>
  </si>
  <si>
    <t>This appears aimed at businesses and institutions that currently rely on cheques for disbursements, giving them a digital alternative that also builds in identity/fraud checks and notification capabilities.</t>
  </si>
  <si>
    <t>Target users, disbursement use case and fraud-check framing are speculative extrapolation from the headline.</t>
  </si>
  <si>
    <t>its chief AI officer citing roughly A$400 million in AI-driven value</t>
  </si>
  <si>
    <t>CBA AI chief on scaling A$400m in AI value</t>
  </si>
  <si>
    <t>The interview headline attributes scaling A$400m in AI value to the chief AI officer.</t>
  </si>
  <si>
    <t>80% of engineers using AI coding agents</t>
  </si>
  <si>
    <t>Evidence states 80% of engineers use AI agents for code output.</t>
  </si>
  <si>
    <t>a coalition of banks, including likely CBA among others</t>
  </si>
  <si>
    <t>Evidence says only 'a coalition of global banks'; CBA's membership is guessed.</t>
  </si>
  <si>
    <t>CBA is also replacing some customer service roles with AI, per Bloomberg reporting</t>
  </si>
  <si>
    <t>AI Is Replacing Customer Service Jobs at CBA, Microsoft, Uber (Bloomberg)</t>
  </si>
  <si>
    <t>There's no detail here on CBA's broader payments roadmap — e.g., real-time payments infrastructure, NPP (New Payments Platform) integration, contactless/digital wallet features, merchant services, or international payment rails.</t>
  </si>
  <si>
    <t>This is commentary about gaps in the evidence set rather than a factual claim drawn from it.</t>
  </si>
  <si>
    <t>it's being rolled out ahead of Australia's broader phase-out of cheques</t>
  </si>
  <si>
    <t>Evidence says "ahead of cheque exit" but does not state a rollout or an Australia-wide phase-out program; "rolled out" and national scope are added.</t>
  </si>
  <si>
    <t>suggesting CBA is positioning PaidIt as a digital replacement for cheque-based disbursements (e.g., payouts, refunds, or similar transactions)</t>
  </si>
  <si>
    <t>The positioning of PaidIt as a cheque replacement for disbursements like refunds is the author's speculation, not stated in the headline.</t>
  </si>
  <si>
    <t>CBA's broader AI push appears to be part of the same modernisation push</t>
  </si>
  <si>
    <t>No evidence links the AI initiatives to a payments modernisation program; this is the writer's connective speculation.</t>
  </si>
  <si>
    <t>Article 4 attributes the A$400m AI value figure to CBA's chief AI officer.</t>
  </si>
  <si>
    <t>CBA is also using AI to replace certain customer service roles, per reporting on broader industry trends</t>
  </si>
  <si>
    <t>Article 2 states AI is replacing customer service jobs at CBA among other companies.</t>
  </si>
  <si>
    <t>These AI investments likely support the infrastructure, security, and efficiency behind platforms like PaidIt</t>
  </si>
  <si>
    <t>The evidence never connects AI investments to supporting PaidIt's infrastructure, security or efficiency.</t>
  </si>
  <si>
    <t>Agentic AI tools making purchases on a consumer's behalf may require sharing sensitive payment credentials, increasing the chance these details are exposed or mishandled.</t>
  </si>
  <si>
    <t>agentic AI tools that make purchases on behalf of consumers could expose card details</t>
  </si>
  <si>
    <t>Evidence states agentic AI purchase tools could expose card details, though the 'require sharing credentials' mechanism is a mild elaboration consistent with the stated risk.</t>
  </si>
  <si>
    <t>The mechanics of how AI agents authenticate and execute transactions could undermine existing safeguards built into traditional payment systems.</t>
  </si>
  <si>
    <t>Evidence says payment security could be weakened but gives no detail about authentication/execution mechanics undermining traditional safeguards.</t>
  </si>
  <si>
    <t>AI commerce tools could be exploited by bad actors to facilitate fraudulent transactions, potentially making scams harder to detect or prevent.</t>
  </si>
  <si>
    <t>Evidence only says consumers risk scams; exploitation by bad actors and harder detection are added specifics.</t>
  </si>
  <si>
    <t>Consumer data used by shopping agents (payment info, purchase history, personal details) could be at greater risk of being compromised or misused.</t>
  </si>
  <si>
    <t>Evidence mentions data privacy breaches generally but does not enumerate purchase history or personal details.</t>
  </si>
  <si>
    <t>the pace of AI agent development is outstripping the industry's ability to build adequate fraud detection and prevention safeguards, creating a gap banks are concerned about</t>
  </si>
  <si>
    <t>AI commerce tools advance faster than industry safeguards</t>
  </si>
  <si>
    <t>Evidence states AI commerce tools advance faster than industry safeguards and banks warn about it.</t>
  </si>
  <si>
    <t>a coalition of global banks (including NatWest and Bank of America)</t>
  </si>
  <si>
    <t>NatWest, Bank of America, and four other banks</t>
  </si>
  <si>
    <t>Evidence names NatWest and Bank of America among a coalition of global banks.</t>
  </si>
  <si>
    <t>agentic AI tools that transact autonomously may be exploited by bad actors in ways that differ from (and are harder to detect than) traditional fraud patterns</t>
  </si>
  <si>
    <t>Evidence mentions scam/fraud risk but not exploitation by bad actors or harder detection versus traditional fraud patterns.</t>
  </si>
  <si>
    <t>since AI shopping agents often require access to personal and financial data to function</t>
  </si>
  <si>
    <t>Evidence cites data privacy breach risk but never states agents require access to personal and financial data.</t>
  </si>
  <si>
    <t>the pace of adoption of AI commerce tools is outstripping the industry's ability to build adequate safeguards — meaning security and fraud-prevention infrastructure hasn't caught up with how quickly these agents are being deployed</t>
  </si>
  <si>
    <t>consumers risk scams and data breaches as AI commerce tools advance faster than industry safeguards</t>
  </si>
  <si>
    <t>Article 2 headline and blurb state AI commerce tools advance faster than industry safeguards.</t>
  </si>
  <si>
    <t>A coalition of global banks (including NatWest and Bank of America)</t>
  </si>
  <si>
    <t>NatWest, Bank of America, and four other banks say consumers risk scams and data breaches</t>
  </si>
  <si>
    <t>Articles 1 and 2 together name the coalition of global banks including NatWest and Bank of America.</t>
  </si>
  <si>
    <t>These AI commerce tools may bypass or undermine existing authentication and fraud-prevention mechanisms that were designed around human-initiated transactions, not autonomous agents acting for consumers.</t>
  </si>
  <si>
    <t>Evidence says tools could 'weaken payment security' but never mentions bypassing authentication mechanisms designed for human-initiated transactions.</t>
  </si>
  <si>
    <t>as fraudsters may exploit gaps in how these agents verify transactions or interact with merchants</t>
  </si>
  <si>
    <t>Evidence mentions scam risk but offers no mechanism about agents verifying transactions or interacting with merchants.</t>
  </si>
  <si>
    <t>raises concerns about how consumer data is collected, stored, and shared across the AI tool, merchants, and payment networks</t>
  </si>
  <si>
    <t>Evidence cites data privacy breaches generally but says nothing about collection, storage, or sharing across merchants and payment networks.</t>
  </si>
  <si>
    <t>the pace of AI commerce development is outstripping the fraud protections and regulatory frameworks currently in place</t>
  </si>
  <si>
    <t>Headline states AI shopping agents outpace fraud protections and advance faster than industry safeguards, though 'regulatory frameworks' is an added embellishment.</t>
  </si>
  <si>
    <t>six banks / 'NatWest, Bank of America, and four other banks' coalition warning</t>
  </si>
  <si>
    <t>Article 2 explicitly names NatWest, Bank of America and four other banks.</t>
  </si>
  <si>
    <t>forecast additional RBA rate hikes in 2023</t>
  </si>
  <si>
    <t>Evidence says "another rate hike this year" but never specifies the year as 2023.</t>
  </si>
  <si>
    <t>Higher rates increase borrowing costs for mortgage customers, which can: Dampen new loan demand / Pressure household affordability / Potentially increase mortgage stress or arrears among existing borrowers</t>
  </si>
  <si>
    <t>General economic reasoning about affordability, arrears and loan demand appears nowhere in the evidence.</t>
  </si>
  <si>
    <t>suggesting banks are contending with a macro environment where persistent inflation is forcing further monetary tightening, compounding the pressure on mortgage volumes and borrower capacity</t>
  </si>
  <si>
    <t>Evidence mentions a hot inflation print reigniting rate hike bets, but not persistent inflation pressuring mortgage volumes or borrower capacity.</t>
  </si>
  <si>
    <t>the core challenge is a squeeze between slowing loan demand and a higher-rate environment, which together threaten the growth and profitability of the mortgage lending segment</t>
  </si>
  <si>
    <t>The synthesized "squeeze" framing linking rates to profitability of the mortgage segment is the writer's conclusion, not stated in the evidence.</t>
  </si>
  <si>
    <t>Australian banks—including CBA—are facing the following challenges in mortgage lending</t>
  </si>
  <si>
    <t>Mortgage-lending challenges come from article 1 about banks generally, while CBA appears only in separate articles about rate forecasts and a lending facility.</t>
  </si>
  <si>
    <t>Further rate increases typically pressure mortgage affordability and can dampen borrower demand, while also squeezing net interest margins if funding costs rise faster than lending rates.</t>
  </si>
  <si>
    <t>General economic reasoning about affordability and net interest margins appears nowhere in the evidence.</t>
  </si>
  <si>
    <t>elevated global interest rate expectations have pushed up banks' funding costs</t>
  </si>
  <si>
    <t>Higher global interest rate expectations have pushed up funding costs</t>
  </si>
  <si>
    <t>Article 3 states higher global rate expectations pushed up funding costs.</t>
  </si>
  <si>
    <t>which can compress profitability even where credit growth (e.g., non-mortgage lending) remains resilient</t>
  </si>
  <si>
    <t>Article 3 mentions resilient credit growth but never says funding costs compress profitability, nor distinguishes non-mortgage lending.</t>
  </si>
  <si>
    <t>Continued rate increases raise borrowing costs for mortgage customers, which can further dampen loan demand and pressure affordability.</t>
  </si>
  <si>
    <t>Evidence reports rate hike forecasts but never states that rate increases raise borrowing costs, dampen loan demand or pressure affordability.</t>
  </si>
  <si>
    <t>Elevated global interest rate expectations are also pushing up funding costs for banks themselves, which squeezes margins at a time when loan growth is already soft.</t>
  </si>
  <si>
    <t>Article 5 says higher global rate expectations pushed up funding costs, but the margin squeeze for banks and soft loan growth are added inferences.</t>
  </si>
  <si>
    <t>loan growth is already soft</t>
  </si>
  <si>
    <t>contradicting</t>
  </si>
  <si>
    <t>Article 5 actually says Australian credit growth is still resilient, and the mortgage downturn from article 1 is generalized into overall loan growth.</t>
  </si>
  <si>
    <t>A downturn in mortgage lending volumes is weighing on sentiment</t>
  </si>
  <si>
    <t>Investors are questioning the rich valuations on Australia's biggest banks as a downturn in lucrative mortgage lending</t>
  </si>
  <si>
    <t>Article 1 states a downturn in mortgage lending has investors questioning bank valuations.</t>
  </si>
  <si>
    <t>a hotter-than-expected inflation print</t>
  </si>
  <si>
    <t>Evidence says "a hot inflation print" but never characterizes it as hotter-than-expected relative to forecasts.</t>
  </si>
  <si>
    <t>with inflation still running above the central bank's target band</t>
  </si>
  <si>
    <t>as inflation remains above the central bank’s target</t>
  </si>
  <si>
    <t>Article 2 states inflation remains above the central bank's target, matching the claim.</t>
  </si>
  <si>
    <t>reinforcing the domestic narrative of inflation remaining the key swing factor for the RBA's decisions</t>
  </si>
  <si>
    <t>No source characterizes inflation as the key swing factor for RBA decisions; this is the author's synthesis.</t>
  </si>
  <si>
    <t>likely around the November meeting</t>
  </si>
  <si>
    <t>Speculative investors are increasingly betting the Reserve Bank of Australia will raise interest rates again in November</t>
  </si>
  <si>
    <t>Article 2 reports growing bets on a November RBA hike.</t>
  </si>
  <si>
    <t>Three of the "Big Four" banks—including CBA itself, along with NAB and ANZ</t>
  </si>
  <si>
    <t>The Commonwealth Bank of Australia and the National Australia Bank on Thursday joined ANZ in forecasting another rate hike this year</t>
  </si>
  <si>
    <t>Article 2 names CBA, NAB and ANZ as three of Australia's four major banks forecasting a hike.</t>
  </si>
  <si>
    <t>funding costs have been reflecting expectations for tighter central bank policy</t>
  </si>
  <si>
    <t>Evidence attributes rising funding costs to higher global interest rate expectations and separately says bond yields reflect tighter policy expectations; linking funding costs to that phrasing is a conflated inference.</t>
  </si>
  <si>
    <t>following a hotter-than-expected inflation print</t>
  </si>
  <si>
    <t>after a hot inflation print reignited</t>
  </si>
  <si>
    <t>Article 1 states the forecasts followed a hot inflation print.</t>
  </si>
  <si>
    <t>Australian bank investors (including those in CBA) are growing cautious as mortgage demand has fallen sharply</t>
  </si>
  <si>
    <t>Article 4 mentions investors questioning valuations amid a mortgage downturn but never names CBA among them.</t>
  </si>
  <si>
    <t>a dynamic that could be influenced by, or run alongside, the rate environment</t>
  </si>
  <si>
    <t>Linking the mortgage slowdown to the rate environment is speculative connective reasoning not stated in the evidence.</t>
  </si>
  <si>
    <t>with November being flagged as a likely timing window</t>
  </si>
  <si>
    <t>Article 3 identifies November as the bet timing for the next hike.</t>
  </si>
  <si>
    <t>This suggests AI is being positioned as a productivity multiplier for engineering staff ("humans in the loop") rather than a wholesale replacement in that function</t>
  </si>
  <si>
    <t>The headline phrase "humans in loop" appears, but the interpretive claim that AI is positioned as a productivity multiplier rather than a replacement in engineering is the author's inference.</t>
  </si>
  <si>
    <t>signaling continued organizational investment in AI capabilities at senior levels</t>
  </si>
  <si>
    <t>Evidence only states new CIO/CTO appointments to boost technology and AI strategy; "continued organizational investment in AI capabilities" is an added interpretation.</t>
  </si>
  <si>
    <t>technical/engineering roles are being augmented by AI tools rather than eliminated</t>
  </si>
  <si>
    <t>Evidence notes engineers' use of AI agents to triple code output but says nothing about engineering roles being augmented rather than eliminated.</t>
  </si>
  <si>
    <t>The evidence points to AI being deployed primarily as a productivity and augmentation tool for existing engineering and technology staff ... rather than as an outright replacement. The "humans in the loop" framing suggests CBA is positioning AI as a complement to its workforce rather than a direct substitute</t>
  </si>
  <si>
    <t>The evidence only mentions "humans in loop" and productivity gains; the conclusion that AI complements rather than replaces staff is the answer's own interpretation, not stated in the articles.</t>
  </si>
  <si>
    <t>though it also means fewer additional engineers may be needed to handle growing workloads</t>
  </si>
  <si>
    <t>Evidence says nothing about future engineer hiring needs or workload growth; this is speculation.</t>
  </si>
  <si>
    <t>the bank has scaled AI investment to a reported A$400 million in value</t>
  </si>
  <si>
    <t>Headline says scaling A$400m in AI value, not that the bank invested A$400 million; value and investment are conflated.</t>
  </si>
  <si>
    <t>signaling AI is a significant strategic priority with organizational implications across tech leadership roles</t>
  </si>
  <si>
    <t>The appointment headline is factual, but the interpretive claim about strategic priority and organizational implications is the author's extrapolation.</t>
  </si>
  <si>
    <t>This suggests AI is being used to augment and accelerate existing engineering staff's output rather than necessarily displacing them</t>
  </si>
  <si>
    <t>Evidence reports engineer AI-agent usage and output gains but makes no statement about augmentation versus displacement.</t>
  </si>
  <si>
    <t>The articles reference CBA as a dividend-paying stock (mentioned alongside other "dividend powerhouses" with yields above 3-5%)</t>
  </si>
  <si>
    <t>Article 3 presents CBA as a dividend share on the "Dividend Powerhouses 3%+ Yield" screener, and article 2 references dividend powerhouses with yields above 5%, matching the claim.</t>
  </si>
  <si>
    <t>several articles reference CBA as a dividend-paying stock with a yield generally cited above 3%</t>
  </si>
  <si>
    <t>Only article 3 mentions CBA in connection with a 3%+ yield screener; the other CBA articles (4 and 5) say nothing about yields, so 'several articles' citing a 3%+ yield for CBA overstates the evidence.</t>
  </si>
  <si>
    <t>you'd need CBA's official FY2025 results announcement (typically released in August)</t>
  </si>
  <si>
    <t>The evidence says nothing about when CBA releases its annual results; the August timing comes from outside knowledge.</t>
  </si>
  <si>
    <t>check CBA's official FY2025 full-year results announcement (typically released in August) or its annual report, which would state statutory and cash net profit after tax figures precisely</t>
  </si>
  <si>
    <t>The timing of CBA's annual results release and the content of its annual report come from external knowledge, not the evidence.</t>
  </si>
  <si>
    <t>CBA's historical 2018 AUSTRAC settlement over anti-money laundering breaches</t>
  </si>
  <si>
    <t>The 2018 AUSTRAC settlement is not mentioned anywhere in the evidence and comes from external knowledge.</t>
  </si>
  <si>
    <t>the other is a general earnings/interest-rate commentary piece with no regulatory content</t>
  </si>
  <si>
    <t>The second article's title concerns profit and RBA rate expectations with no regulatory content, matching the characterization.</t>
  </si>
  <si>
    <t>The platform is designed to give the bank a unified way to disburse payments digitally, replacing the need for cheques as that payment method winds down.</t>
  </si>
  <si>
    <t>Evidence says PaidIt combines three functions in one system ahead of cheque exit, but does not state its design purpose is to replace cheques with digital disbursement.</t>
  </si>
  <si>
    <t>designed to replace the role cheques previously played for disbursing payments</t>
  </si>
  <si>
    <t>The evidence says the platform was unveiled ahead of the cheque exit but never states it is designed to replace cheques' disbursement role.</t>
  </si>
  <si>
    <t>archTIS is drawing on this facility to help fund contract execution and growth</t>
  </si>
  <si>
    <t>The headline states the facility supports contract execution and growth, matching the claim's substance.</t>
  </si>
  <si>
    <t>likely helping archTIS bridge cash flow needs tied to fulfilling customer contracts (common for smaller tech/software companies where contract payments may lag delivery costs)</t>
  </si>
  <si>
    <t>The evidence only says the facility supports contract execution; the cash-flow bridging rationale and industry generalization are the assistant's own speculation.</t>
  </si>
  <si>
    <t>CBA provided archTIS Ltd (ASX:AR9) with an A$4 million lending facility</t>
  </si>
  <si>
    <t>archTIS Ltd (ASX:AR9, OTCQB:ARHLF) has extended the maturity date of a A$4 million Commonwealth Bank of Australia (ASX:CBA) lending facility</t>
  </si>
  <si>
    <t>The evidence states archTIS holds an A$4 million CBA lending facility.</t>
  </si>
  <si>
    <t>archTIS has extended the maturity date of this existing facility, rather than entering into a new one.</t>
  </si>
  <si>
    <t>has extended the maturity date of a A$4 million Commonwealth Bank of Australia (ASX:CBA) lending facility</t>
  </si>
  <si>
    <t>The evidence explicitly states the maturity date of an existing facility was extended.</t>
  </si>
  <si>
    <t>meaning archTIS can draw on it without issuing new shares, avoiding shareholder dilution</t>
  </si>
  <si>
    <t>Evidence only labels the capital 'non-dilutive'; the explanation about drawing funds without issuing shares is the answer's own gloss.</t>
  </si>
  <si>
    <t>appears to be part of the same broader push into AI-driven technology transformation</t>
  </si>
  <si>
    <t>Links the Boteju AI-scaling story (article 3) to the CIO/CTO appointments (article 2) as one initiative, a connection no article states.</t>
  </si>
  <si>
    <t>resolve over 15,000 security issues</t>
  </si>
  <si>
    <t>triple code output and resolve over 15,000 security issues</t>
  </si>
  <si>
    <t>Article 3 explicitly states engineers using AI agents resolve over 15,000 security issues.</t>
  </si>
  <si>
    <t>around 80% of the bank's engineers reportedly using AI agents to boost code output</t>
  </si>
  <si>
    <t>Article 4's blurb states 80% of engineers use AI agents to triple code output.</t>
  </si>
  <si>
    <t>This role appears distinct from the CIO/CTO appointments mentioned above.</t>
  </si>
  <si>
    <t>This is the assistant's own reasoning about how the roles relate, not a fact stated in the evidence.</t>
  </si>
  <si>
    <t>"Humans in the loop" approach: The bank is framing this as augmentation rather than full automation—AI agents assist staff rather than operate independently, at least in the engineering and security use cases highlighted.</t>
  </si>
  <si>
    <t>Evidence only has the headline phrase "with humans in loop"; the framing as augmentation-not-automation with agents assisting staff is the answer's own elaboration.</t>
  </si>
  <si>
    <t>pointing to efficiency gains in cyber/risk functions</t>
  </si>
  <si>
    <t>Evidence states AI resolved over 15,000 security issues but draws no conclusion about efficiency gains in cyber/risk functions.</t>
  </si>
  <si>
    <t>suggesting workforce/cost reduction in front-line service functions is part of the broader AI strategy</t>
  </si>
  <si>
    <t>The Bloomberg headline only says AI is replacing customer service jobs; the inference about workforce/cost reduction being part of a broader AI strategy is unsupported.</t>
  </si>
  <si>
    <t>The evidence points to engineering/developer productivity gains (tripled code output across 80% of engineers) and security issue resolution as components behind the A$400 million figure</t>
  </si>
  <si>
    <t>The evidence mentions the A$400m figure and the productivity/security stats but never states these are components behind that total; the causal linkage is inferred.</t>
  </si>
  <si>
    <t>The same AI tooling has helped resolve over 15,000 security issues</t>
  </si>
  <si>
    <t>The headline blurb explicitly states AI agents resolve over 15,000 security issues.</t>
  </si>
  <si>
    <t>suggesting cost/headcount reduction in that function may be part of the broader AI value narrative</t>
  </si>
  <si>
    <t>Bloomberg's headline only says AI is replacing customer service jobs; the speculation about cost/headcount reduction feeding the AI value narrative is the answer's own inference.</t>
  </si>
  <si>
    <t>the original Retail Banker International interview would likely contain more detail than what's captured here</t>
  </si>
  <si>
    <t>This is commentary about the retrieval tooling and source availability rather than a factual claim grounded in article content.</t>
  </si>
  <si>
    <t>with an emphasis on keeping "humans in the loop" rather than full automation</t>
  </si>
  <si>
    <t>scaling A$400m in AI value with humans in loop</t>
  </si>
  <si>
    <t>The headline explicitly ties the A$400m AI value scaling to "humans in loop," though "rather than full automation" is light framing of that same phrase.</t>
  </si>
  <si>
    <t>suggesting cost reduction in customer service functions may be another contributing factor</t>
  </si>
  <si>
    <t>Evidence only says AI is replacing customer service jobs at CBA; linking that to cost reduction contributing to the A$400m figure is the answer's own speculation.</t>
  </si>
  <si>
    <t>The archTIS item (a small lending facility CBA extended to a data-security vendor) appears unrelated to CBA's own AI value-generation program.</t>
  </si>
  <si>
    <t>This is the assistant's commentary assessing the relevance of a retrieved article rather than a factual claim stated in the evidence.</t>
  </si>
  <si>
    <t>an explicit "humans in the loop" philosophy — meaning AI agents are deployed to augment engineers rather than operate fully autonomously</t>
  </si>
  <si>
    <t>The headline phrase "humans in loop" appears, but the gloss that agents augment rather than operate autonomously is an added interpretation.</t>
  </si>
  <si>
    <t>a broader effort to scale roughly A$400 million in AI-derived value across the bank</t>
  </si>
  <si>
    <t>The article title states the AI chief is scaling A$400m in AI value.</t>
  </si>
  <si>
    <t>suggesting the tools are being used not just for writing code but also for identifying and fixing vulnerabilities</t>
  </si>
  <si>
    <t>Evidence states 15,000 security issues were resolved but does not say the AI tools identify and fix vulnerabilities; that is the author's inference.</t>
  </si>
  <si>
    <t>This fits within a broader figure cited of A$400 million in "AI value" the bank is scaling</t>
  </si>
  <si>
    <t>The headline states the AI chief is scaling A$400m in AI value with humans in the loop.</t>
  </si>
  <si>
    <t>**Investment scale**</t>
  </si>
  <si>
    <t>The evidence describes A$400m as 'AI value' being scaled, not an investment amount, so labeling it investment scale goes beyond the evidence.</t>
  </si>
  <si>
    <t>The same AI tooling has been used to resolve over 15,000 security issues</t>
  </si>
  <si>
    <t>The evidence says engineers using AI agents resolve over 15,000 security issues but does not state it was the same tooling used for code output.</t>
  </si>
  <si>
    <t>Around 80% of the bank's engineers now using AI agents/coding assistants</t>
  </si>
  <si>
    <t>how 80% of the bank's engineers use AI agents to triple code output</t>
  </si>
  <si>
    <t>Article 1 states 80% of CBA engineers use AI agents.</t>
  </si>
  <si>
    <t>Under his leadership, the bank has reported that roughly 80% of its engineers now use AI agents, which has tripled code output and helped resolve over 15,000 security issues.</t>
  </si>
  <si>
    <t>tells Satarupa Bhowmik how 80% of the bank's engineers use AI agents to triple code output and resolve over 15,000 security issues</t>
  </si>
  <si>
    <t>Article 1's summary states 80% of CBA engineers use AI agents to triple code output and resolve over 15,000 security issues, as told by chief AI officer Boteju.</t>
  </si>
  <si>
    <t>CBA is part of a coalition of global banks flagging risks from AI shopping agents</t>
  </si>
  <si>
    <t>Article 5 mentions a coalition of global banks but never names CBA as a member.</t>
  </si>
  <si>
    <t>This suggests CBA is engaging in industry-wide discussions about security standards as payment technology evolves.</t>
  </si>
  <si>
    <t>Speculative interpretation built on the unsupported premise that CBA is in the coalition.</t>
  </si>
  <si>
    <t>This AI infrastructure likely underpins fraud detection and security improvements relevant to payments</t>
  </si>
  <si>
    <t>Evidence never links CBA's AI agents to fraud detection or payments; this is hedged speculation.</t>
  </si>
  <si>
    <t>designed to get ahead of Australia's planned cheque phase-out</t>
  </si>
  <si>
    <t>The headline states the platform was unveiled ahead of the cheque exit.</t>
  </si>
  <si>
    <t>CBA's broader AI push (reportedly targeting A$400 million in value, per comments from its chief AI officer)</t>
  </si>
  <si>
    <t>Article 3 attributes the A$400m AI value figure to CBA's chief AI officer.</t>
  </si>
  <si>
    <t>the phase-out of cheques in Australia</t>
  </si>
  <si>
    <t>Evidence says "ahead of cheque exit" but does not specify a nationwide Australian phase-out.</t>
  </si>
  <si>
    <t>This appears to be positioned as a digital alternative for payout-style transactions (e.g., disbursements, refunds, or bulk payments) that would traditionally have relied on cheques.</t>
  </si>
  <si>
    <t>Disbursements, refunds and bulk payments are speculative examples not mentioned in the evidence.</t>
  </si>
  <si>
    <t>CBA's main payment modernisation initiative is the launch of PaidIt</t>
  </si>
  <si>
    <t>Evidence reports the PaidIt launch but never characterises it as CBA's main payment modernisation initiative.</t>
  </si>
  <si>
    <t>including customer service automation</t>
  </si>
  <si>
    <t>AI Is Replacing Customer Service Jobs at CBA</t>
  </si>
  <si>
    <t>Article 2 indicates AI is being applied to customer service at CBA.</t>
  </si>
  <si>
    <t>The mechanics of how these AI agents interact with payment systems may undermine existing security protocols designed to protect transactions.</t>
  </si>
  <si>
    <t>Evidence says agents could weaken payment security, but the explanation about agents' interaction mechanics undermining existing security protocols is an added elaboration.</t>
  </si>
  <si>
    <t>The agents' handling of personal and financial data creates potential vulnerabilities for privacy breaches.</t>
  </si>
  <si>
    <t>Evidence lists data privacy breaches as a risk but does not attribute them to the agents' handling of personal and financial data.</t>
  </si>
  <si>
    <t>a coalition of global banks—including NatWest and Bank of America—has raised specific concerns</t>
  </si>
  <si>
    <t>Articles 1 and 2 state a coalition of global banks including NatWest and Bank of America issued these warnings.</t>
  </si>
  <si>
    <t>AI agents making autonomous purchases on a consumer's behalf could be manipulated or exploited, increasing exposure to fraudulent transactions.</t>
  </si>
  <si>
    <t>agentic AI tools that make purchases on behalf of consumers could expose card details and weaken payment security</t>
  </si>
  <si>
    <t>Evidence states banks warn agentic AI tools making purchases could increase risk of scams and fraud.</t>
  </si>
  <si>
    <t>The mechanics of agentic AI commerce may require sharing payment credentials in ways that weaken traditional safeguards around card data.</t>
  </si>
  <si>
    <t>could expose card details and weaken payment security</t>
  </si>
  <si>
    <t>Headline evidence says such tools could expose card details and weaken payment security.</t>
  </si>
  <si>
    <t>These tools may handle sensitive personal and financial information outside the protections consumers typically expect from direct bank-to-merchant transactions.</t>
  </si>
  <si>
    <t>Evidence mentions data privacy breaches but not handling of data outside protections of direct bank-to-merchant transactions.</t>
  </si>
  <si>
    <t>creating a gap where bad actors could exploit new attack surfaces before defenses catch up</t>
  </si>
  <si>
    <t>Evidence says tools advance faster than safeguards but says nothing about bad actors exploiting new attack surfaces.</t>
  </si>
  <si>
    <t>CBA is both exposed to the broader industry risk (as a payments provider whose customers may use third-party AI shopping agents)</t>
  </si>
  <si>
    <t>No evidence characterizes CBA as a payments provider exposed to third-party AI shopping agents.</t>
  </si>
  <si>
    <t>its chief AI officer has discussed scaling roughly A$400 million in AI value, with a large share of engineers using AI agents and thousands of security issues resolved through these tools</t>
  </si>
  <si>
    <t>Article 3 describes the CBA AI chief, A$400m in AI value, 80% of engineers using AI agents, and over 15,000 security issues resolved.</t>
  </si>
  <si>
    <t>including new platforms like PaidIt and recent CIO/CTO appointments focused on technology and AI strategy</t>
  </si>
  <si>
    <t>Articles 7 and 9 mention the PaidIt platform and new CIO/CTO appointments to boost technology and AI strategy.</t>
  </si>
  <si>
    <t>Higher rates generally increase funding costs for banks and can further dampen borrower demand and affordability, compounding the mortgage lending slowdown.</t>
  </si>
  <si>
    <t>Evidence mentions higher global rate expectations pushing up funding costs generally, but the causal chain about dampening borrower demand, affordability and compounding the mortgage slowdown is the answer's own reasoning.</t>
  </si>
  <si>
    <t>raising concerns about the durability of a key profit driver for these institutions</t>
  </si>
  <si>
    <t>Article 1 says mortgage lending is 'lucrative' and its downturn threatens banks, but 'concerns about the durability of a key profit driver' is an added interpretive framing.</t>
  </si>
  <si>
    <t>Higher rates typically dampen mortgage demand further by increasing borrowing costs and reducing loan serviceability for customers, while also potentially increasing the risk of borrower stress on existing mortgage books.</t>
  </si>
  <si>
    <t>General economic reasoning about rate effects on borrowers and arrears is not stated anywhere in the evidence.</t>
  </si>
  <si>
    <t>One piece of evidence notes that elevated global interest rate expectations have pushed up funding costs for Australian banks generally</t>
  </si>
  <si>
    <t>Article 5 says higher global rate expectations pushed up funding costs generally, not specifically for Australian banks.</t>
  </si>
  <si>
    <t>which can compress margins on lending products like mortgages even as rates rise</t>
  </si>
  <si>
    <t>Margin compression on mortgages from funding costs is external financial reasoning absent from the evidence.</t>
  </si>
  <si>
    <t>mortgage lending demand has been declining, raising questions about future profitability in this core business line</t>
  </si>
  <si>
    <t>Investors are questioning the rich valuations on Australia's biggest banks as a downturn in lucrative mortgage lending threatens to</t>
  </si>
  <si>
    <t>Article 1 reports a downturn in mortgage lending prompting investor questions about bank valuations.</t>
  </si>
  <si>
    <t>a dynamic that ties back to the higher rate environment weighing on borrowing activity</t>
  </si>
  <si>
    <t>Article 3 attributes the mortgage downturn to no cause; linking it to higher rates is the answer's own causal inference.</t>
  </si>
  <si>
    <t>with speculative investors (per Bloomberg) betting that persistent above-target inflation will force the central bank's hand</t>
  </si>
  <si>
    <t>Article 2 (Bloomberg) states speculative investors are betting on a November hike as inflation stays above target.</t>
  </si>
  <si>
    <t>which is feeding into how income/dividend stocks (including CBA) are being framed by analysts</t>
  </si>
  <si>
    <t>The dividend articles are screener write-ups citing tighter policy, but no analyst framing of CBA is stated as such.</t>
  </si>
  <si>
    <t>versus this hawkish window in 2023</t>
  </si>
  <si>
    <t>No evidence article specifies the year 2023; the dating is supplied from outside knowledge.</t>
  </si>
  <si>
    <t>triggered by a hotter-than-expected inflation print</t>
  </si>
  <si>
    <t>joined ANZ in forecasting another rate hike this year after a hot inflation print reignited</t>
  </si>
  <si>
    <t>Article 2 attributes the forecast shift to a hot inflation print.</t>
  </si>
  <si>
    <t>a shift that followed a hotter-than-expected inflation print</t>
  </si>
  <si>
    <t>with November flagged as a likely timing window</t>
  </si>
  <si>
    <t>Article 3 explicitly points to November as the anticipated hike timing.</t>
  </si>
  <si>
    <t>persistent, above-target inflation is what's pushing both bank economists and speculative investors toward pricing in tighter policy rather than cuts or a pause</t>
  </si>
  <si>
    <t>Articles 1 and 3 attribute both bank forecasts and speculative bets to hot, above-target inflation.</t>
  </si>
  <si>
    <t>Earlier this year, CBA was reported to have cut customer service roles after deploying an AI voice bot</t>
  </si>
  <si>
    <t>The evidence never mentions an AI voice bot or a timeline of earlier-this-year role cuts at CBA; this comes from outside knowledge.</t>
  </si>
  <si>
    <t>signaling continued investment in AI-related roles at the leadership and technical level</t>
  </si>
  <si>
    <t>The headline only states new CIO/CTO appointments to boost technology and AI strategy; continued investment in AI-related roles is an extrapolation.</t>
  </si>
  <si>
    <t>alongside expansion or reinforcement of technical/engineering roles where AI is used as a productivity tool with human oversight</t>
  </si>
  <si>
    <t>Evidence shows engineers using AI agents but says nothing about expansion or reinforcement of technical/engineering roles.</t>
  </si>
  <si>
    <t>pointing to AI augmenting technical/engineering staff rather than simply replacing them</t>
  </si>
  <si>
    <t>The augmentation-versus-replacement conclusion is the answer's own interpretation, not stated in the evidence.</t>
  </si>
  <si>
    <t>there is a general Goldman Sachs estimate cited about AI wiping out ~11,000 jobs per month, but this is not specific to CBA or even the banking sector</t>
  </si>
  <si>
    <t>Goldman Sachs Warns AI is Still Wiping Out 11,000 Jobs Per Month</t>
  </si>
  <si>
    <t>Article 9 headline states Goldman Sachs warns AI is wiping out 11,000 jobs per month, with no CBA or banking-sector specificity.</t>
  </si>
  <si>
    <t>CBA has appointed a new CIO and CTO specifically to strengthen its technology and AI strategy, signaling continued institutional investment in AI capability at senior levels</t>
  </si>
  <si>
    <t>Article 5 states CBA appointed a new CIO and CTO to boost technology and AI strategy; the 'senior investment' framing is light interpretation of that same fact.</t>
  </si>
  <si>
    <t>CBA has appointed new Chief Information Officer and Chief Technology Officer roles specifically to boost its technology and AI strategy</t>
  </si>
  <si>
    <t>Article 2 headline states exactly this appointment and purpose.</t>
  </si>
  <si>
    <t>Goldman Sachs estimating ~11,000 AI-related job losses per month</t>
  </si>
  <si>
    <t>Article 8 headline states Goldman Sachs' 11,000 jobs per month figure.</t>
  </si>
  <si>
    <t>This points to AI augmenting (rather than replacing) technical/engineering roles</t>
  </si>
  <si>
    <t>The evidence reports engineer AI-agent usage and output gains but does not characterize it as augmenting rather than replacing roles.</t>
  </si>
  <si>
    <t>several articles reference CBA as a dividend-paying stock with "well covered" or above-3%/5% yields</t>
  </si>
  <si>
    <t>Dividend powerhouses with yields above 5% and well covered, growing payouts</t>
  </si>
  <si>
    <t>Evidence articles do reference CBA among dividend stocks and use the phrases 'well covered' and yields above 3%/5%.</t>
  </si>
  <si>
    <t>The news items reference CBA's dividend yield in a general sense (as part of broader "Australian dividend stocks" screeners)</t>
  </si>
  <si>
    <t>Article 3 features CBA among dividend shares on a "Dividend Powerhouses 3%+ Yield" screener, matching the claim's general yield/screener reference.</t>
  </si>
  <si>
    <t>you would need to check CBA's official FY2025 results announcement (typically released in August)</t>
  </si>
  <si>
    <t>The evidence says nothing about CBA's FY2025 results announcement or its typical August release timing; this comes from external knowledge.</t>
  </si>
  <si>
    <t>its stated net-zero by 2050 ambition with associated interim targets</t>
  </si>
  <si>
    <t>The net-zero by 2050 ambition and interim targets come from the assistant's own knowledge of CBA, not from any of the provided articles.</t>
  </si>
  <si>
    <t>you'd need to look at CBA's dedicated climate disclosures, such as its annual Climate Report, its Group environmental and social framework/credit policies covering sectors like oil, gas, coal, and thermal power</t>
  </si>
  <si>
    <t>The existence and naming of CBA's Climate Report and environmental/social credit policies covering oil, gas, coal and thermal power is external knowledge absent from the evidence.</t>
  </si>
  <si>
    <t>consolidating what were previously separate steps into one platform</t>
  </si>
  <si>
    <t>Evidence says the platform combines three functions but never states these were previously separate steps.</t>
  </si>
  <si>
    <t>This integrated approach is positioned as CBA's solution for handling payouts that would traditionally have been made by cheque</t>
  </si>
  <si>
    <t>Evidence only says the platform was unveiled 'ahead of cheque exit', not that it is positioned to handle payouts traditionally made by cheque.</t>
  </si>
  <si>
    <t>a new payout platform designed to replace cheque-based payments</t>
  </si>
  <si>
    <t>The headline states the payout platform precedes the cheque exit, but does not say it is designed to replace cheque-based payments.</t>
  </si>
  <si>
    <t>Evidence says the platform was unveiled 'ahead of cheque exit' but does not state it is designed to replace cheque-based payments.</t>
  </si>
  <si>
    <t>This integrated approach is positioned as CBA's solution for handling payouts that would traditionally have relied on paper cheques</t>
  </si>
  <si>
    <t>The framing of PaidIt as CBA's solution for payouts previously done by paper cheques is an interpretive extension of the headline.</t>
  </si>
  <si>
    <t>consolidating what might otherwise be separate steps into one platform</t>
  </si>
  <si>
    <t>PaidIt combines recipient verification, communications and payment delivery within one system</t>
  </si>
  <si>
    <t>Evidence states the three functions are combined within one system.</t>
  </si>
  <si>
    <t>Ranil Boteju, CBA's Chief AI Officer, has outlined the figure in an interview, linking it to engineering productivity gains and security improvements</t>
  </si>
  <si>
    <t>Article 1's headline and summary state Boteju discussed scaling A$400m in AI value in an interview, citing code output and security issue resolution.</t>
  </si>
  <si>
    <t>CBA has also recently appointed a new CIO and CTO specifically to bolster its technology and AI strategy, suggesting the bank is investing further in leadership to scale these initiatives</t>
  </si>
  <si>
    <t>Article 9 states CBA appointed a new CIO and CTO to boost technology and AI strategy.</t>
  </si>
  <si>
    <t>the public details tie the A$400 million mainly to engineering/developer productivity (via AI coding agents) and security issue resolution</t>
  </si>
  <si>
    <t>The evidence never states the A$400m figure is mainly derived from those two areas; this is the writer's interpretive linkage.</t>
  </si>
  <si>
    <t>Bloomberg reporting notes that AI is also being used to replace customer service roles at CBA, which may be a related but distinct value driver not quantified in the A$400 million figure</t>
  </si>
  <si>
    <t>Article 4 from Bloomberg states AI is replacing customer service jobs at CBA, though the 'distinct value driver' framing is hedged speculation.</t>
  </si>
  <si>
    <t>The reported value appears to stem from a few specific operational gains: [software engineering productivity, security operations, human-in-the-loop design]</t>
  </si>
  <si>
    <t>The headline mentions the A$400m figure and the examples, but the evidence never states that the value derives from these specific gains; the causal attribution is the answer's inference.</t>
  </si>
  <si>
    <t>Boteju frames the program as keeping humans involved in AI-assisted workflows rather than fully automating them, which is presented as central to how the value is being captured responsibly.</t>
  </si>
  <si>
    <t>The headline only says 'with humans in loop'; the characterization of Boteju's framing as central to capturing value responsibly is added interpretation.</t>
  </si>
  <si>
    <t>suggesting workforce/cost efficiency is likely part of the broader AI value story</t>
  </si>
  <si>
    <t>Article 3 only states AI is replacing customer service jobs at CBA; linking that to the A$400m AI value story is speculation.</t>
  </si>
  <si>
    <t>indicating the initiative is still scaling organizationally</t>
  </si>
  <si>
    <t>Reuters reports the CIO/CTO appointments but draws no conclusion that the AI initiative is still scaling organizationally.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</si>
</sst>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
  </numFmts>
  <fonts count="22">
    <font>
      <sz val="11"/>
      <name val="Carlito"/>
    </font>
    <font>
      <b/>
      <sz val="11"/>
      <color rgb="FFFFFFFF"/>
      <name val="Carlito"/>
    </font>
    <font>
      <sz val="11"/>
      <color theme="1"/>
      <name val="Carlito"/>
    </font>
    <font>
      <b/>
      <sz val="11"/>
      <name val="Arial"/>
    </font>
    <font>
      <sz val="11"/>
      <name val="Arial"/>
    </font>
    <font>
      <b/>
      <sz val="11"/>
      <name val="Arial"/>
    </font>
    <font>
      <sz val="11"/>
      <name val="Arial"/>
    </font>
    <font>
      <sz val="11"/>
      <color rgb="FF0000FF"/>
      <name val="Arial"/>
    </font>
    <font>
      <sz val="11"/>
      <color rgb="FF000000"/>
      <name val="Arial"/>
    </font>
    <font>
      <b/>
      <sz val="11"/>
      <name val="Arial"/>
    </font>
    <font>
      <sz val="11"/>
      <name val="Arial"/>
    </font>
    <font>
      <b/>
      <sz val="11"/>
      <name val="Arial"/>
    </font>
    <font>
      <b/>
      <sz val="12"/>
      <name val="Arial"/>
    </font>
    <font>
      <b/>
      <sz val="9"/>
      <name val="Arial"/>
    </font>
    <font>
      <i/>
      <sz val="9"/>
      <name val="Arial"/>
    </font>
    <font>
      <sz val="11"/>
      <name val="Arial"/>
    </font>
    <font>
      <b/>
      <sz val="11"/>
      <name val="Arial"/>
    </font>
    <font>
      <sz val="11"/>
      <name val="Arial"/>
    </font>
    <font>
      <b/>
      <sz val="11"/>
      <name val="Arial"/>
    </font>
    <font>
      <sz val="11"/>
      <name val="Arial"/>
    </font>
    <font>
      <b/>
      <sz val="11"/>
      <name val="Arial"/>
    </font>
    <font>
      <sz val="11"/>
      <name val="Arial"/>
    </font>
  </fonts>
  <fills count="12">
    <fill>
      <patternFill patternType="none"/>
    </fill>
    <fill>
      <patternFill patternType="gray125"/>
    </fill>
    <fill>
      <patternFill patternType="solid">
        <fgColor rgb="FF17365D"/>
      </patternFill>
    </fill>
    <fill>
      <patternFill patternType="solid">
        <fgColor theme="4" tint="0.79998168889431442"/>
        <bgColor theme="4" tint="0.79998168889431442"/>
      </patternFill>
    </fill>
    <fill>
      <patternFill patternType="solid">
        <fgColor rgb="FFD9E1F2"/>
      </patternFill>
    </fill>
    <fill>
      <patternFill patternType="solid">
        <fgColor rgb="FFD9E1F2"/>
      </patternFill>
    </fill>
    <fill>
      <patternFill patternType="solid">
        <fgColor rgb="FFFFFF00"/>
      </patternFill>
    </fill>
    <fill>
      <patternFill patternType="solid">
        <fgColor rgb="FFD9E1F2"/>
      </patternFill>
    </fill>
    <fill>
      <patternFill patternType="solid">
        <fgColor rgb="FFD9E1F2"/>
      </patternFill>
    </fill>
    <fill>
      <patternFill patternType="solid">
        <fgColor rgb="FFD9E1F2"/>
      </patternFill>
    </fill>
    <fill>
      <patternFill patternType="solid">
        <fgColor rgb="FFD9E1F2"/>
      </patternFill>
    </fill>
    <fill>
      <patternFill patternType="solid">
        <fgColor rgb="FFD9E1F2"/>
      </patternFill>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1">
    <xf numFmtId="0" fontId="0" fillId="0" borderId="0"/>
  </cellStyleXfs>
  <cellXfs count="63">
    <xf numFmtId="0" fontId="0" fillId="0" borderId="0" xfId="0"/>
    <xf numFmtId="0" fontId="1" fillId="2" borderId="0" xfId="0" applyFont="1" applyFill="1" applyAlignment="1">
      <alignment vertical="center"/>
    </xf>
    <xf numFmtId="0" fontId="0" fillId="0" borderId="0" xfId="0" applyAlignment="1">
      <alignment wrapText="1"/>
    </xf>
    <xf numFmtId="0" fontId="1" fillId="2" borderId="1" xfId="0" applyFont="1" applyFill="1" applyBorder="1" applyAlignment="1">
      <alignment horizontal="left" vertical="top"/>
    </xf>
    <xf numFmtId="0" fontId="1" fillId="2" borderId="2" xfId="0" applyFont="1" applyFill="1" applyBorder="1" applyAlignment="1">
      <alignment horizontal="left" vertical="top"/>
    </xf>
    <xf numFmtId="0" fontId="2" fillId="3" borderId="1"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0" fillId="0" borderId="0" xfId="0" applyAlignment="1">
      <alignment horizontal="left" vertical="top"/>
    </xf>
    <xf numFmtId="0" fontId="3" fillId="4" borderId="0" xfId="0" applyFont="1" applyFill="1"/>
    <xf numFmtId="0" fontId="4" fillId="0" borderId="0" xfId="0" applyFont="1"/>
    <xf numFmtId="0" fontId="3" fillId="4" borderId="0" xfId="0" applyFont="1" applyFill="1" applyAlignment="1">
      <alignment horizontal="left" vertical="top" wrapText="1"/>
    </xf>
    <xf numFmtId="164" fontId="4" fillId="0" borderId="0" xfId="0" applyNumberFormat="1" applyFont="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5" fillId="5" borderId="0" xfId="0" applyFont="1" applyFill="1"/>
    <xf numFmtId="0" fontId="6" fillId="0" borderId="0" xfId="0" applyFont="1"/>
    <xf numFmtId="164" fontId="6" fillId="0" borderId="0" xfId="0" applyNumberFormat="1" applyFont="1"/>
    <xf numFmtId="0" fontId="5" fillId="0" borderId="0" xfId="0" applyFont="1"/>
    <xf numFmtId="0" fontId="7" fillId="6" borderId="0" xfId="0" applyFont="1" applyFill="1"/>
    <xf numFmtId="2" fontId="7" fillId="0" borderId="0" xfId="0" applyNumberFormat="1" applyFont="1"/>
    <xf numFmtId="1" fontId="8" fillId="0" borderId="0" xfId="0" applyNumberFormat="1" applyFont="1"/>
    <xf numFmtId="165" fontId="8" fillId="0" borderId="0" xfId="0" applyNumberFormat="1" applyFont="1"/>
    <xf numFmtId="0" fontId="0" fillId="0" borderId="0" xfId="0" applyAlignment="1">
      <alignment horizontal="left" wrapText="1"/>
    </xf>
    <xf numFmtId="0" fontId="6" fillId="0" borderId="0" xfId="0" applyFont="1" applyAlignment="1">
      <alignment horizontal="left" vertical="top" wrapText="1"/>
    </xf>
    <xf numFmtId="164" fontId="6" fillId="0" borderId="0" xfId="0" applyNumberFormat="1" applyFont="1" applyAlignment="1">
      <alignment horizontal="left" vertical="top" wrapText="1"/>
    </xf>
    <xf numFmtId="0" fontId="9" fillId="7" borderId="0" xfId="0" applyFont="1" applyFill="1"/>
    <xf numFmtId="0" fontId="10" fillId="0" borderId="0" xfId="0" applyFont="1"/>
    <xf numFmtId="0" fontId="12" fillId="0" borderId="0" xfId="0" applyFont="1"/>
    <xf numFmtId="0" fontId="11" fillId="8" borderId="0" xfId="0" applyFont="1" applyFill="1" applyAlignment="1">
      <alignment wrapText="1"/>
    </xf>
    <xf numFmtId="0" fontId="11" fillId="0" borderId="0" xfId="0" applyFont="1"/>
    <xf numFmtId="165" fontId="15" fillId="0" borderId="0" xfId="0" applyNumberFormat="1" applyFont="1"/>
    <xf numFmtId="166" fontId="15" fillId="0" borderId="0" xfId="0" applyNumberFormat="1" applyFont="1"/>
    <xf numFmtId="167" fontId="15" fillId="0" borderId="0" xfId="0" applyNumberFormat="1" applyFont="1"/>
    <xf numFmtId="0" fontId="15" fillId="0" borderId="0" xfId="0" applyFont="1"/>
    <xf numFmtId="0" fontId="13" fillId="0" borderId="0" xfId="0" applyFont="1"/>
    <xf numFmtId="0" fontId="14" fillId="0" borderId="0" xfId="0" applyFont="1"/>
    <xf numFmtId="0" fontId="11" fillId="8" borderId="0" xfId="0" applyFont="1" applyFill="1"/>
    <xf numFmtId="0" fontId="16" fillId="9" borderId="0" xfId="0" applyFont="1" applyFill="1" applyAlignment="1">
      <alignment vertical="top" wrapText="1"/>
    </xf>
    <xf numFmtId="0" fontId="16" fillId="0" borderId="0" xfId="0" applyFont="1"/>
    <xf numFmtId="9" fontId="17" fillId="0" borderId="0" xfId="0" applyNumberFormat="1" applyFont="1"/>
    <xf numFmtId="167" fontId="17" fillId="0" borderId="0" xfId="0" applyNumberFormat="1" applyFont="1"/>
    <xf numFmtId="0" fontId="17" fillId="0" borderId="0" xfId="0" applyFont="1"/>
    <xf numFmtId="0" fontId="17" fillId="0" borderId="0" xfId="0" applyFont="1" applyAlignment="1">
      <alignment vertical="top"/>
    </xf>
    <xf numFmtId="0" fontId="17" fillId="0" borderId="0" xfId="0" applyFont="1" applyAlignment="1">
      <alignment vertical="top" wrapText="1"/>
    </xf>
    <xf numFmtId="9" fontId="17" fillId="0" borderId="0" xfId="0" applyNumberFormat="1" applyFont="1" applyAlignment="1">
      <alignment vertical="top"/>
    </xf>
    <xf numFmtId="0" fontId="18" fillId="10" borderId="0" xfId="0" applyFont="1" applyFill="1" applyAlignment="1">
      <alignment vertical="top" wrapText="1"/>
    </xf>
    <xf numFmtId="0" fontId="18" fillId="0" borderId="0" xfId="0" applyFont="1"/>
    <xf numFmtId="9" fontId="19" fillId="0" borderId="0" xfId="0" applyNumberFormat="1" applyFont="1"/>
    <xf numFmtId="167" fontId="19" fillId="0" borderId="0" xfId="0" applyNumberFormat="1" applyFont="1"/>
    <xf numFmtId="0" fontId="19" fillId="0" borderId="0" xfId="0" applyFont="1"/>
    <xf numFmtId="2" fontId="19" fillId="0" borderId="0" xfId="0" applyNumberFormat="1" applyFont="1"/>
    <xf numFmtId="0" fontId="19" fillId="0" borderId="0" xfId="0" applyFont="1" applyAlignment="1">
      <alignment vertical="top"/>
    </xf>
    <xf numFmtId="0" fontId="19" fillId="0" borderId="0" xfId="0" applyFont="1" applyAlignment="1">
      <alignment vertical="top" wrapText="1"/>
    </xf>
    <xf numFmtId="9" fontId="19" fillId="0" borderId="0" xfId="0" applyNumberFormat="1" applyFont="1" applyAlignment="1">
      <alignment vertical="top"/>
    </xf>
    <xf numFmtId="0" fontId="20" fillId="11" borderId="0" xfId="0" applyFont="1" applyFill="1"/>
    <xf numFmtId="0" fontId="21" fillId="0" borderId="0" xfId="0" applyFont="1"/>
    <xf numFmtId="9" fontId="21" fillId="0" borderId="0" xfId="0" applyNumberFormat="1" applyFont="1"/>
    <xf numFmtId="0" fontId="20" fillId="0" borderId="0" xfId="0" applyFont="1"/>
    <xf numFmtId="0" fontId="20" fillId="11" borderId="0" xfId="0" applyFont="1" applyFill="1" applyAlignment="1">
      <alignment wrapText="1"/>
    </xf>
    <xf numFmtId="0" fontId="21" fillId="0" borderId="0" xfId="0" applyFont="1" applyAlignment="1">
      <alignment vertical="top"/>
    </xf>
    <xf numFmtId="0" fontId="2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riginalArticles" displayName="OriginalArticles" ref="A1:E22" totalsRowShown="0">
  <tableColumns count="5">
    <tableColumn id="1" xr3:uid="{00000000-0010-0000-0000-000001000000}" name="CSV Row"/>
    <tableColumn id="2" xr3:uid="{00000000-0010-0000-0000-000002000000}" name="Article ID"/>
    <tableColumn id="3" xr3:uid="{00000000-0010-0000-0000-000003000000}" name="Ticker"/>
    <tableColumn id="4" xr3:uid="{00000000-0010-0000-0000-000004000000}" name="Title"/>
    <tableColumn id="5" xr3:uid="{00000000-0010-0000-0000-000005000000}" name="Snippe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ionArticleMatches" displayName="QuestionArticleMatches" ref="A1:H13" totalsRowShown="0">
  <tableColumns count="8">
    <tableColumn id="1" xr3:uid="{00000000-0010-0000-0100-000001000000}" name="Question ID"/>
    <tableColumn id="2" xr3:uid="{00000000-0010-0000-0100-000002000000}" name="Question"/>
    <tableColumn id="3" xr3:uid="{00000000-0010-0000-0100-000003000000}" name="Test Purpose"/>
    <tableColumn id="4" xr3:uid="{00000000-0010-0000-0100-000004000000}" name="CSV Row"/>
    <tableColumn id="5" xr3:uid="{00000000-0010-0000-0100-000005000000}" name="Article ID"/>
    <tableColumn id="6" xr3:uid="{00000000-0010-0000-0100-000006000000}" name="Article Title"/>
    <tableColumn id="7" xr3:uid="{00000000-0010-0000-0100-000007000000}" name="Relevance Label"/>
    <tableColumn id="8" xr3:uid="{00000000-0010-0000-0100-000008000000}" name="Review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
  <sheetViews>
    <sheetView workbookViewId="0">
      <pane ySplit="1" topLeftCell="A2" activePane="bottomLeft" state="frozen"/>
      <selection pane="bottomLeft"/>
    </sheetView>
  </sheetViews>
  <sheetFormatPr defaultRowHeight="14"/>
  <cols>
    <col min="1" max="1" width="12" customWidth="1"/>
    <col min="2" max="2" width="40" customWidth="1"/>
    <col min="3" max="3" width="14" customWidth="1"/>
    <col min="4" max="4" width="75" customWidth="1"/>
    <col min="5" max="5" width="105" customWidth="1"/>
  </cols>
  <sheetData>
    <row r="1" spans="1:7" ht="30" customHeight="1">
      <c r="A1" s="1" t="s">
        <v>48</v>
      </c>
      <c r="B1" s="1" t="s">
        <v>3</v>
      </c>
      <c r="C1" s="1" t="s">
        <v>49</v>
      </c>
      <c r="D1" s="1" t="s">
        <v>50</v>
      </c>
      <c r="E1" s="1" t="s">
        <v>51</v>
      </c>
      <c r="F1" s="16" t="s">
        <v>52</v>
      </c>
      <c r="G1" s="16" t="s">
        <v>53</v>
      </c>
    </row>
    <row r="2" spans="1:7" ht="49" customHeight="1">
      <c r="A2" s="2">
        <v>1</v>
      </c>
      <c r="B2" s="2" t="s">
        <v>22</v>
      </c>
      <c r="C2" s="2" t="s">
        <v>54</v>
      </c>
      <c r="D2" s="2" t="s">
        <v>23</v>
      </c>
      <c r="E2" s="2" t="s">
        <v>55</v>
      </c>
      <c r="F2" s="17" t="s">
        <v>56</v>
      </c>
      <c r="G2" s="17" t="s">
        <v>57</v>
      </c>
    </row>
    <row r="3" spans="1:7" ht="49" customHeight="1">
      <c r="A3" s="2">
        <v>2</v>
      </c>
      <c r="B3" s="2" t="s">
        <v>18</v>
      </c>
      <c r="C3" s="2" t="s">
        <v>54</v>
      </c>
      <c r="D3" s="2" t="s">
        <v>19</v>
      </c>
      <c r="E3" s="2" t="s">
        <v>58</v>
      </c>
      <c r="F3" s="17" t="s">
        <v>59</v>
      </c>
      <c r="G3" s="17" t="s">
        <v>60</v>
      </c>
    </row>
    <row r="4" spans="1:7" ht="49" customHeight="1">
      <c r="A4" s="2">
        <v>3</v>
      </c>
      <c r="B4" s="2" t="s">
        <v>26</v>
      </c>
      <c r="C4" s="2" t="s">
        <v>54</v>
      </c>
      <c r="D4" s="2" t="s">
        <v>27</v>
      </c>
      <c r="E4" s="2" t="s">
        <v>61</v>
      </c>
      <c r="F4" s="17" t="s">
        <v>62</v>
      </c>
      <c r="G4" s="17" t="s">
        <v>63</v>
      </c>
    </row>
    <row r="5" spans="1:7" ht="49" customHeight="1">
      <c r="A5" s="2">
        <v>4</v>
      </c>
      <c r="B5" s="2" t="s">
        <v>64</v>
      </c>
      <c r="C5" s="2" t="s">
        <v>54</v>
      </c>
      <c r="D5" s="2" t="s">
        <v>65</v>
      </c>
      <c r="E5" s="2" t="s">
        <v>66</v>
      </c>
      <c r="F5" s="17" t="s">
        <v>67</v>
      </c>
      <c r="G5" s="17" t="s">
        <v>68</v>
      </c>
    </row>
    <row r="6" spans="1:7" ht="49" customHeight="1">
      <c r="A6" s="2">
        <v>5</v>
      </c>
      <c r="B6" s="2" t="s">
        <v>36</v>
      </c>
      <c r="C6" s="2" t="s">
        <v>54</v>
      </c>
      <c r="D6" s="2" t="s">
        <v>37</v>
      </c>
      <c r="E6" s="2" t="s">
        <v>69</v>
      </c>
      <c r="F6" s="17" t="s">
        <v>70</v>
      </c>
      <c r="G6" s="17" t="s">
        <v>71</v>
      </c>
    </row>
    <row r="7" spans="1:7" ht="49" customHeight="1">
      <c r="A7" s="2">
        <v>6</v>
      </c>
      <c r="B7" s="2" t="s">
        <v>28</v>
      </c>
      <c r="C7" s="2" t="s">
        <v>54</v>
      </c>
      <c r="D7" s="2" t="s">
        <v>29</v>
      </c>
      <c r="E7" s="2" t="s">
        <v>72</v>
      </c>
      <c r="F7" s="17" t="s">
        <v>73</v>
      </c>
      <c r="G7" s="17" t="s">
        <v>74</v>
      </c>
    </row>
    <row r="8" spans="1:7" ht="49" customHeight="1">
      <c r="A8" s="2">
        <v>7</v>
      </c>
      <c r="B8" s="2" t="s">
        <v>75</v>
      </c>
      <c r="C8" s="2" t="s">
        <v>54</v>
      </c>
      <c r="D8" s="2" t="s">
        <v>76</v>
      </c>
      <c r="E8" s="2" t="s">
        <v>77</v>
      </c>
      <c r="F8" s="17" t="s">
        <v>78</v>
      </c>
      <c r="G8" s="17" t="s">
        <v>79</v>
      </c>
    </row>
    <row r="9" spans="1:7" ht="49" customHeight="1">
      <c r="A9" s="2">
        <v>8</v>
      </c>
      <c r="B9" s="2" t="s">
        <v>40</v>
      </c>
      <c r="C9" s="2" t="s">
        <v>54</v>
      </c>
      <c r="D9" s="2" t="s">
        <v>41</v>
      </c>
      <c r="E9" s="2" t="s">
        <v>80</v>
      </c>
      <c r="F9" s="17" t="s">
        <v>81</v>
      </c>
      <c r="G9" s="17" t="s">
        <v>82</v>
      </c>
    </row>
    <row r="10" spans="1:7" ht="49" customHeight="1">
      <c r="A10" s="2">
        <v>9</v>
      </c>
      <c r="B10" s="2" t="s">
        <v>10</v>
      </c>
      <c r="C10" s="2" t="s">
        <v>54</v>
      </c>
      <c r="D10" s="2" t="s">
        <v>11</v>
      </c>
      <c r="E10" s="2" t="s">
        <v>83</v>
      </c>
      <c r="F10" s="17" t="s">
        <v>84</v>
      </c>
      <c r="G10" s="17" t="s">
        <v>85</v>
      </c>
    </row>
    <row r="11" spans="1:7" ht="49" customHeight="1">
      <c r="A11" s="2">
        <v>10</v>
      </c>
      <c r="B11" s="2" t="s">
        <v>32</v>
      </c>
      <c r="C11" s="2" t="s">
        <v>54</v>
      </c>
      <c r="D11" s="2" t="s">
        <v>33</v>
      </c>
      <c r="E11" s="2" t="s">
        <v>86</v>
      </c>
      <c r="F11" s="17" t="s">
        <v>87</v>
      </c>
      <c r="G11" s="17" t="s">
        <v>88</v>
      </c>
    </row>
    <row r="12" spans="1:7" ht="49" customHeight="1">
      <c r="A12" s="2">
        <v>11</v>
      </c>
      <c r="B12" s="2" t="s">
        <v>89</v>
      </c>
      <c r="C12" s="2" t="s">
        <v>54</v>
      </c>
      <c r="D12" s="2" t="s">
        <v>90</v>
      </c>
      <c r="E12" s="2" t="s">
        <v>91</v>
      </c>
      <c r="F12" s="17" t="s">
        <v>92</v>
      </c>
      <c r="G12" s="17" t="s">
        <v>93</v>
      </c>
    </row>
    <row r="13" spans="1:7" ht="49" customHeight="1">
      <c r="A13" s="2">
        <v>12</v>
      </c>
      <c r="B13" s="2" t="s">
        <v>20</v>
      </c>
      <c r="C13" s="2" t="s">
        <v>54</v>
      </c>
      <c r="D13" s="2" t="s">
        <v>21</v>
      </c>
      <c r="E13" s="2" t="s">
        <v>94</v>
      </c>
      <c r="F13" s="17" t="s">
        <v>95</v>
      </c>
      <c r="G13" s="17" t="s">
        <v>96</v>
      </c>
    </row>
    <row r="14" spans="1:7" ht="49" customHeight="1">
      <c r="A14" s="2">
        <v>13</v>
      </c>
      <c r="B14" s="2" t="s">
        <v>34</v>
      </c>
      <c r="C14" s="2" t="s">
        <v>54</v>
      </c>
      <c r="D14" s="2" t="s">
        <v>35</v>
      </c>
      <c r="E14" s="2" t="s">
        <v>97</v>
      </c>
      <c r="F14" s="17" t="s">
        <v>98</v>
      </c>
      <c r="G14" s="17" t="s">
        <v>99</v>
      </c>
    </row>
    <row r="15" spans="1:7" ht="49" customHeight="1">
      <c r="A15" s="2">
        <v>14</v>
      </c>
      <c r="B15" s="2" t="s">
        <v>16</v>
      </c>
      <c r="C15" s="2" t="s">
        <v>54</v>
      </c>
      <c r="D15" s="2" t="s">
        <v>17</v>
      </c>
      <c r="E15" s="2" t="s">
        <v>100</v>
      </c>
      <c r="F15" s="17" t="s">
        <v>17</v>
      </c>
      <c r="G15" s="17" t="s">
        <v>101</v>
      </c>
    </row>
    <row r="16" spans="1:7" ht="49" customHeight="1">
      <c r="A16" s="2">
        <v>15</v>
      </c>
      <c r="B16" s="2" t="s">
        <v>42</v>
      </c>
      <c r="C16" s="2" t="s">
        <v>54</v>
      </c>
      <c r="D16" s="2" t="s">
        <v>43</v>
      </c>
      <c r="E16" s="2" t="s">
        <v>102</v>
      </c>
      <c r="F16" s="17" t="s">
        <v>103</v>
      </c>
      <c r="G16" s="17" t="s">
        <v>104</v>
      </c>
    </row>
    <row r="17" spans="1:7" ht="49" customHeight="1">
      <c r="A17" s="2">
        <v>16</v>
      </c>
      <c r="B17" s="2" t="s">
        <v>12</v>
      </c>
      <c r="C17" s="2" t="s">
        <v>54</v>
      </c>
      <c r="D17" s="2" t="s">
        <v>13</v>
      </c>
      <c r="E17" s="2" t="s">
        <v>105</v>
      </c>
      <c r="F17" s="17" t="s">
        <v>106</v>
      </c>
      <c r="G17" s="17" t="s">
        <v>107</v>
      </c>
    </row>
    <row r="18" spans="1:7" ht="49" customHeight="1">
      <c r="A18" s="2">
        <v>17</v>
      </c>
      <c r="B18" s="2" t="s">
        <v>108</v>
      </c>
      <c r="C18" s="2" t="s">
        <v>54</v>
      </c>
      <c r="D18" s="2" t="s">
        <v>109</v>
      </c>
      <c r="E18" s="2" t="s">
        <v>100</v>
      </c>
      <c r="F18" s="17" t="s">
        <v>109</v>
      </c>
      <c r="G18" s="17" t="s">
        <v>110</v>
      </c>
    </row>
    <row r="19" spans="1:7" ht="49" customHeight="1">
      <c r="A19" s="2">
        <v>18</v>
      </c>
      <c r="B19" s="2" t="s">
        <v>24</v>
      </c>
      <c r="C19" s="2" t="s">
        <v>54</v>
      </c>
      <c r="D19" s="2" t="s">
        <v>25</v>
      </c>
      <c r="E19" s="2" t="s">
        <v>100</v>
      </c>
      <c r="F19" s="17" t="s">
        <v>25</v>
      </c>
      <c r="G19" s="17" t="s">
        <v>111</v>
      </c>
    </row>
    <row r="20" spans="1:7" ht="49" customHeight="1">
      <c r="A20" s="2">
        <v>19</v>
      </c>
      <c r="B20" s="2" t="s">
        <v>14</v>
      </c>
      <c r="C20" s="2" t="s">
        <v>54</v>
      </c>
      <c r="D20" s="2" t="s">
        <v>15</v>
      </c>
      <c r="E20" s="2" t="s">
        <v>100</v>
      </c>
      <c r="F20" s="17" t="s">
        <v>15</v>
      </c>
      <c r="G20" s="17" t="s">
        <v>112</v>
      </c>
    </row>
    <row r="21" spans="1:7" ht="49" customHeight="1">
      <c r="A21" s="2">
        <v>20</v>
      </c>
      <c r="B21" s="2" t="s">
        <v>113</v>
      </c>
      <c r="C21" s="2" t="s">
        <v>54</v>
      </c>
      <c r="D21" s="2" t="s">
        <v>114</v>
      </c>
      <c r="E21" s="2" t="s">
        <v>100</v>
      </c>
      <c r="F21" s="17" t="s">
        <v>114</v>
      </c>
      <c r="G21" s="17" t="s">
        <v>115</v>
      </c>
    </row>
    <row r="22" spans="1:7" ht="49" customHeight="1">
      <c r="A22" s="2">
        <v>21</v>
      </c>
      <c r="B22" s="2" t="s">
        <v>46</v>
      </c>
      <c r="C22" s="2" t="s">
        <v>54</v>
      </c>
      <c r="D22" s="2" t="s">
        <v>47</v>
      </c>
      <c r="E22" s="2" t="s">
        <v>100</v>
      </c>
      <c r="F22" s="17" t="s">
        <v>47</v>
      </c>
      <c r="G22" s="17" t="s">
        <v>116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9"/>
  <sheetViews>
    <sheetView workbookViewId="0">
      <selection activeCell="K16" sqref="K16"/>
    </sheetView>
  </sheetViews>
  <sheetFormatPr defaultRowHeight="14"/>
  <cols>
    <col min="1" max="1" width="44.08203125" style="9" customWidth="1"/>
    <col min="2" max="2" width="75.08203125" style="9" customWidth="1"/>
  </cols>
  <sheetData>
    <row r="1" spans="1:3">
      <c r="A1" s="3" t="s">
        <v>0</v>
      </c>
      <c r="B1" s="4" t="s">
        <v>1</v>
      </c>
      <c r="C1" s="16" t="s">
        <v>53</v>
      </c>
    </row>
    <row r="2" spans="1:3">
      <c r="A2" s="5" t="s">
        <v>117</v>
      </c>
      <c r="B2" s="6" t="s">
        <v>118</v>
      </c>
      <c r="C2" s="17" t="s">
        <v>119</v>
      </c>
    </row>
    <row r="3" spans="1:3">
      <c r="A3" s="7" t="s">
        <v>120</v>
      </c>
      <c r="B3" s="8" t="s">
        <v>121</v>
      </c>
      <c r="C3" s="17" t="s">
        <v>122</v>
      </c>
    </row>
    <row r="4" spans="1:3">
      <c r="A4" s="5" t="s">
        <v>123</v>
      </c>
      <c r="B4" s="6" t="s">
        <v>124</v>
      </c>
      <c r="C4" s="17" t="s">
        <v>125</v>
      </c>
    </row>
    <row r="5" spans="1:3">
      <c r="A5" s="7" t="s">
        <v>126</v>
      </c>
      <c r="B5" s="8" t="s">
        <v>127</v>
      </c>
      <c r="C5" s="17" t="s">
        <v>128</v>
      </c>
    </row>
    <row r="6" spans="1:3">
      <c r="A6" s="5" t="s">
        <v>126</v>
      </c>
      <c r="B6" s="6" t="s">
        <v>127</v>
      </c>
      <c r="C6" s="17" t="s">
        <v>128</v>
      </c>
    </row>
    <row r="7" spans="1:3">
      <c r="A7" s="7" t="s">
        <v>129</v>
      </c>
      <c r="B7" s="8" t="s">
        <v>130</v>
      </c>
      <c r="C7" s="17" t="s">
        <v>131</v>
      </c>
    </row>
    <row r="8" spans="1:3">
      <c r="A8" s="5" t="s">
        <v>132</v>
      </c>
      <c r="B8" s="6" t="s">
        <v>133</v>
      </c>
      <c r="C8" s="17" t="s">
        <v>134</v>
      </c>
    </row>
    <row r="9" spans="1:3">
      <c r="A9" s="7" t="s">
        <v>132</v>
      </c>
      <c r="B9" s="8" t="s">
        <v>133</v>
      </c>
      <c r="C9" s="17" t="s">
        <v>134</v>
      </c>
    </row>
    <row r="10" spans="1:3">
      <c r="A10" s="5" t="s">
        <v>135</v>
      </c>
      <c r="B10" s="6" t="s">
        <v>136</v>
      </c>
      <c r="C10" s="17" t="s">
        <v>137</v>
      </c>
    </row>
    <row r="11" spans="1:3">
      <c r="A11" s="7" t="s">
        <v>138</v>
      </c>
      <c r="B11" s="8" t="s">
        <v>139</v>
      </c>
      <c r="C11" s="17" t="s">
        <v>140</v>
      </c>
    </row>
    <row r="12" spans="1:3">
      <c r="A12" s="5" t="s">
        <v>141</v>
      </c>
      <c r="B12" s="6" t="s">
        <v>142</v>
      </c>
      <c r="C12" s="17" t="s">
        <v>143</v>
      </c>
    </row>
    <row r="13" spans="1:3">
      <c r="A13" s="7" t="s">
        <v>144</v>
      </c>
      <c r="B13" s="8" t="s">
        <v>145</v>
      </c>
      <c r="C13" s="17" t="s">
        <v>146</v>
      </c>
    </row>
    <row r="14" spans="1:3" ht="28" customHeight="1">
      <c r="A14" s="7" t="s">
        <v>147</v>
      </c>
      <c r="B14" s="8" t="s">
        <v>148</v>
      </c>
      <c r="C14" s="17" t="s">
        <v>149</v>
      </c>
    </row>
    <row r="15" spans="1:3" ht="28" customHeight="1">
      <c r="A15" s="7" t="s">
        <v>150</v>
      </c>
      <c r="B15" s="8" t="s">
        <v>151</v>
      </c>
      <c r="C15" s="17" t="s">
        <v>152</v>
      </c>
    </row>
    <row r="16" spans="1:3">
      <c r="A16" s="7" t="s">
        <v>8</v>
      </c>
      <c r="B16" s="8" t="s">
        <v>9</v>
      </c>
      <c r="C16" s="17" t="s">
        <v>153</v>
      </c>
    </row>
    <row r="17" spans="1:3">
      <c r="A17" s="7" t="s">
        <v>30</v>
      </c>
      <c r="B17" s="8" t="s">
        <v>31</v>
      </c>
      <c r="C17" s="17" t="s">
        <v>154</v>
      </c>
    </row>
    <row r="18" spans="1:3">
      <c r="A18" s="7" t="s">
        <v>38</v>
      </c>
      <c r="B18" s="8" t="s">
        <v>39</v>
      </c>
      <c r="C18" s="17" t="s">
        <v>155</v>
      </c>
    </row>
    <row r="19" spans="1:3">
      <c r="A19" s="7" t="s">
        <v>44</v>
      </c>
      <c r="B19" s="8" t="s">
        <v>45</v>
      </c>
      <c r="C19" s="17" t="s">
        <v>156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pane ySplit="1" topLeftCell="A3" activePane="bottomLeft" state="frozen"/>
      <selection pane="bottomLeft" activeCell="B18" sqref="B18"/>
    </sheetView>
  </sheetViews>
  <sheetFormatPr defaultRowHeight="14"/>
  <cols>
    <col min="1" max="1" width="15" customWidth="1"/>
    <col min="2" max="2" width="74.75" customWidth="1"/>
    <col min="3" max="3" width="42" customWidth="1"/>
    <col min="4" max="4" width="12" customWidth="1"/>
    <col min="5" max="5" width="40" customWidth="1"/>
    <col min="6" max="6" width="75" customWidth="1"/>
    <col min="7" max="7" width="25" customWidth="1"/>
    <col min="8" max="8" width="28" customWidth="1"/>
  </cols>
  <sheetData>
    <row r="1" spans="1:8" ht="30" customHeight="1">
      <c r="A1" s="1" t="s">
        <v>0</v>
      </c>
      <c r="B1" s="1" t="s">
        <v>1</v>
      </c>
      <c r="C1" s="1" t="s">
        <v>157</v>
      </c>
      <c r="D1" s="1" t="s">
        <v>48</v>
      </c>
      <c r="E1" s="1" t="s">
        <v>3</v>
      </c>
      <c r="F1" s="1" t="s">
        <v>4</v>
      </c>
      <c r="G1" s="1" t="s">
        <v>158</v>
      </c>
      <c r="H1" s="1" t="s">
        <v>159</v>
      </c>
    </row>
    <row r="2" spans="1:8" ht="49" customHeight="1">
      <c r="A2" s="2" t="s">
        <v>117</v>
      </c>
      <c r="B2" s="2" t="s">
        <v>118</v>
      </c>
      <c r="C2" s="2" t="s">
        <v>160</v>
      </c>
      <c r="D2" s="2">
        <v>3</v>
      </c>
      <c r="E2" s="2" t="s">
        <v>26</v>
      </c>
      <c r="F2" s="2" t="s">
        <v>27</v>
      </c>
      <c r="G2" s="2" t="s">
        <v>161</v>
      </c>
      <c r="H2" s="2" t="s">
        <v>162</v>
      </c>
    </row>
    <row r="3" spans="1:8" ht="49" customHeight="1">
      <c r="A3" s="2" t="s">
        <v>120</v>
      </c>
      <c r="B3" s="2" t="s">
        <v>121</v>
      </c>
      <c r="C3" s="2" t="s">
        <v>163</v>
      </c>
      <c r="D3" s="2">
        <v>18</v>
      </c>
      <c r="E3" s="2" t="s">
        <v>24</v>
      </c>
      <c r="F3" s="2" t="s">
        <v>25</v>
      </c>
      <c r="G3" s="2" t="s">
        <v>161</v>
      </c>
      <c r="H3" s="2" t="s">
        <v>162</v>
      </c>
    </row>
    <row r="4" spans="1:8" ht="49" customHeight="1">
      <c r="A4" s="2" t="s">
        <v>123</v>
      </c>
      <c r="B4" s="2" t="s">
        <v>124</v>
      </c>
      <c r="C4" s="2" t="s">
        <v>164</v>
      </c>
      <c r="D4" s="2">
        <v>9</v>
      </c>
      <c r="E4" s="2" t="s">
        <v>10</v>
      </c>
      <c r="F4" s="2" t="s">
        <v>11</v>
      </c>
      <c r="G4" s="2" t="s">
        <v>161</v>
      </c>
      <c r="H4" s="2" t="s">
        <v>162</v>
      </c>
    </row>
    <row r="5" spans="1:8" ht="49" customHeight="1">
      <c r="A5" s="2" t="s">
        <v>126</v>
      </c>
      <c r="B5" s="2" t="s">
        <v>127</v>
      </c>
      <c r="C5" s="2" t="s">
        <v>165</v>
      </c>
      <c r="D5" s="2">
        <v>1</v>
      </c>
      <c r="E5" s="2" t="s">
        <v>22</v>
      </c>
      <c r="F5" s="2" t="s">
        <v>23</v>
      </c>
      <c r="G5" s="2" t="s">
        <v>161</v>
      </c>
      <c r="H5" s="2" t="s">
        <v>162</v>
      </c>
    </row>
    <row r="6" spans="1:8" ht="49" customHeight="1">
      <c r="A6" s="2" t="s">
        <v>126</v>
      </c>
      <c r="B6" s="2" t="s">
        <v>127</v>
      </c>
      <c r="C6" s="2" t="s">
        <v>165</v>
      </c>
      <c r="D6" s="2">
        <v>2</v>
      </c>
      <c r="E6" s="2" t="s">
        <v>18</v>
      </c>
      <c r="F6" s="2" t="s">
        <v>19</v>
      </c>
      <c r="G6" s="2" t="s">
        <v>161</v>
      </c>
      <c r="H6" s="2" t="s">
        <v>162</v>
      </c>
    </row>
    <row r="7" spans="1:8" ht="49" customHeight="1">
      <c r="A7" s="2" t="s">
        <v>129</v>
      </c>
      <c r="B7" s="2" t="s">
        <v>130</v>
      </c>
      <c r="C7" s="2" t="s">
        <v>166</v>
      </c>
      <c r="D7" s="2">
        <v>10</v>
      </c>
      <c r="E7" s="2" t="s">
        <v>32</v>
      </c>
      <c r="F7" s="2" t="s">
        <v>33</v>
      </c>
      <c r="G7" s="2" t="s">
        <v>161</v>
      </c>
      <c r="H7" s="2" t="s">
        <v>162</v>
      </c>
    </row>
    <row r="8" spans="1:8" ht="49" customHeight="1">
      <c r="A8" s="2" t="s">
        <v>132</v>
      </c>
      <c r="B8" s="2" t="s">
        <v>133</v>
      </c>
      <c r="C8" s="2" t="s">
        <v>167</v>
      </c>
      <c r="D8" s="2">
        <v>7</v>
      </c>
      <c r="E8" s="2" t="s">
        <v>75</v>
      </c>
      <c r="F8" s="2" t="s">
        <v>76</v>
      </c>
      <c r="G8" s="2" t="s">
        <v>161</v>
      </c>
      <c r="H8" s="2" t="s">
        <v>162</v>
      </c>
    </row>
    <row r="9" spans="1:8" ht="49" customHeight="1">
      <c r="A9" s="2" t="s">
        <v>132</v>
      </c>
      <c r="B9" s="2" t="s">
        <v>133</v>
      </c>
      <c r="C9" s="2" t="s">
        <v>167</v>
      </c>
      <c r="D9" s="2">
        <v>12</v>
      </c>
      <c r="E9" s="2" t="s">
        <v>20</v>
      </c>
      <c r="F9" s="2" t="s">
        <v>21</v>
      </c>
      <c r="G9" s="2" t="s">
        <v>161</v>
      </c>
      <c r="H9" s="2" t="s">
        <v>162</v>
      </c>
    </row>
    <row r="10" spans="1:8" ht="49" customHeight="1">
      <c r="A10" s="2" t="s">
        <v>135</v>
      </c>
      <c r="B10" s="2" t="s">
        <v>136</v>
      </c>
      <c r="C10" s="2" t="s">
        <v>168</v>
      </c>
      <c r="D10" s="2">
        <v>15</v>
      </c>
      <c r="E10" s="2" t="s">
        <v>42</v>
      </c>
      <c r="F10" s="2" t="s">
        <v>43</v>
      </c>
      <c r="G10" s="2" t="s">
        <v>161</v>
      </c>
      <c r="H10" s="2" t="s">
        <v>162</v>
      </c>
    </row>
    <row r="11" spans="1:8" ht="49" customHeight="1">
      <c r="A11" s="2" t="s">
        <v>138</v>
      </c>
      <c r="B11" s="2" t="s">
        <v>139</v>
      </c>
      <c r="C11" s="2" t="s">
        <v>169</v>
      </c>
      <c r="D11" s="2">
        <v>14</v>
      </c>
      <c r="E11" s="2" t="s">
        <v>16</v>
      </c>
      <c r="F11" s="2" t="s">
        <v>17</v>
      </c>
      <c r="G11" s="2" t="s">
        <v>161</v>
      </c>
      <c r="H11" s="2" t="s">
        <v>162</v>
      </c>
    </row>
    <row r="12" spans="1:8" ht="49" customHeight="1">
      <c r="A12" s="2" t="s">
        <v>141</v>
      </c>
      <c r="B12" s="2" t="s">
        <v>142</v>
      </c>
      <c r="C12" s="2" t="s">
        <v>170</v>
      </c>
      <c r="D12" s="2"/>
      <c r="E12" s="2"/>
      <c r="F12" s="2"/>
      <c r="G12" s="2" t="s">
        <v>171</v>
      </c>
      <c r="H12" s="2" t="s">
        <v>162</v>
      </c>
    </row>
    <row r="13" spans="1:8" ht="49" customHeight="1">
      <c r="A13" s="2" t="s">
        <v>144</v>
      </c>
      <c r="B13" s="2" t="s">
        <v>145</v>
      </c>
      <c r="C13" s="2" t="s">
        <v>170</v>
      </c>
      <c r="D13" s="2"/>
      <c r="E13" s="2"/>
      <c r="F13" s="2"/>
      <c r="G13" s="2" t="s">
        <v>171</v>
      </c>
      <c r="H13" s="2" t="s">
        <v>162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1"/>
  <sheetViews>
    <sheetView workbookViewId="0">
      <pane ySplit="1" topLeftCell="A2" activePane="bottomLeft" state="frozen"/>
      <selection pane="bottomLeft" activeCell="E38" sqref="E38"/>
    </sheetView>
  </sheetViews>
  <sheetFormatPr defaultRowHeight="14"/>
  <cols>
    <col min="1" max="1" width="12" customWidth="1"/>
    <col min="2" max="2" width="70" customWidth="1"/>
    <col min="3" max="3" width="9" customWidth="1"/>
    <col min="4" max="4" width="40" customWidth="1"/>
    <col min="5" max="5" width="80" customWidth="1"/>
    <col min="6" max="6" width="16" customWidth="1"/>
  </cols>
  <sheetData>
    <row r="1" spans="1:6">
      <c r="A1" s="10" t="s">
        <v>0</v>
      </c>
      <c r="B1" s="10" t="s">
        <v>1</v>
      </c>
      <c r="C1" s="10" t="s">
        <v>48</v>
      </c>
      <c r="D1" s="10" t="s">
        <v>3</v>
      </c>
      <c r="E1" s="10" t="s">
        <v>4</v>
      </c>
      <c r="F1" s="10" t="s">
        <v>172</v>
      </c>
    </row>
    <row r="2" spans="1:6">
      <c r="A2" s="11" t="s">
        <v>117</v>
      </c>
      <c r="B2" s="11" t="s">
        <v>118</v>
      </c>
      <c r="C2" s="11">
        <v>3</v>
      </c>
      <c r="D2" s="11" t="s">
        <v>26</v>
      </c>
      <c r="E2" s="11" t="s">
        <v>27</v>
      </c>
      <c r="F2" s="11" t="s">
        <v>173</v>
      </c>
    </row>
    <row r="3" spans="1:6">
      <c r="A3" s="11" t="s">
        <v>117</v>
      </c>
      <c r="B3" s="11" t="s">
        <v>118</v>
      </c>
      <c r="C3" s="11">
        <v>18</v>
      </c>
      <c r="D3" s="11" t="s">
        <v>24</v>
      </c>
      <c r="E3" s="11" t="s">
        <v>25</v>
      </c>
      <c r="F3" s="11" t="s">
        <v>174</v>
      </c>
    </row>
    <row r="4" spans="1:6">
      <c r="A4" s="11" t="s">
        <v>117</v>
      </c>
      <c r="B4" s="11" t="s">
        <v>118</v>
      </c>
      <c r="C4" s="11">
        <v>14</v>
      </c>
      <c r="D4" s="11" t="s">
        <v>16</v>
      </c>
      <c r="E4" s="11" t="s">
        <v>17</v>
      </c>
      <c r="F4" s="11" t="s">
        <v>174</v>
      </c>
    </row>
    <row r="5" spans="1:6">
      <c r="A5" s="11" t="s">
        <v>120</v>
      </c>
      <c r="B5" s="11" t="s">
        <v>121</v>
      </c>
      <c r="C5" s="11">
        <v>18</v>
      </c>
      <c r="D5" s="11" t="s">
        <v>24</v>
      </c>
      <c r="E5" s="11" t="s">
        <v>25</v>
      </c>
      <c r="F5" s="11" t="s">
        <v>173</v>
      </c>
    </row>
    <row r="6" spans="1:6">
      <c r="A6" s="11" t="s">
        <v>120</v>
      </c>
      <c r="B6" s="11" t="s">
        <v>121</v>
      </c>
      <c r="C6" s="11">
        <v>3</v>
      </c>
      <c r="D6" s="11" t="s">
        <v>26</v>
      </c>
      <c r="E6" s="11" t="s">
        <v>27</v>
      </c>
      <c r="F6" s="11" t="s">
        <v>174</v>
      </c>
    </row>
    <row r="7" spans="1:6">
      <c r="A7" s="11" t="s">
        <v>123</v>
      </c>
      <c r="B7" s="11" t="s">
        <v>124</v>
      </c>
      <c r="C7" s="11">
        <v>9</v>
      </c>
      <c r="D7" s="11" t="s">
        <v>10</v>
      </c>
      <c r="E7" s="11" t="s">
        <v>11</v>
      </c>
      <c r="F7" s="11" t="s">
        <v>174</v>
      </c>
    </row>
    <row r="8" spans="1:6">
      <c r="A8" s="11" t="s">
        <v>123</v>
      </c>
      <c r="B8" s="11" t="s">
        <v>124</v>
      </c>
      <c r="C8" s="11">
        <v>1</v>
      </c>
      <c r="D8" s="11" t="s">
        <v>22</v>
      </c>
      <c r="E8" s="11" t="s">
        <v>23</v>
      </c>
      <c r="F8" s="11" t="s">
        <v>174</v>
      </c>
    </row>
    <row r="9" spans="1:6">
      <c r="A9" s="11" t="s">
        <v>123</v>
      </c>
      <c r="B9" s="11" t="s">
        <v>124</v>
      </c>
      <c r="C9" s="11">
        <v>2</v>
      </c>
      <c r="D9" s="11" t="s">
        <v>18</v>
      </c>
      <c r="E9" s="11" t="s">
        <v>19</v>
      </c>
      <c r="F9" s="11" t="s">
        <v>174</v>
      </c>
    </row>
    <row r="10" spans="1:6">
      <c r="A10" s="11" t="s">
        <v>126</v>
      </c>
      <c r="B10" s="11" t="s">
        <v>127</v>
      </c>
      <c r="C10" s="11">
        <v>1</v>
      </c>
      <c r="D10" s="11" t="s">
        <v>22</v>
      </c>
      <c r="E10" s="11" t="s">
        <v>23</v>
      </c>
      <c r="F10" s="11" t="s">
        <v>173</v>
      </c>
    </row>
    <row r="11" spans="1:6">
      <c r="A11" s="11" t="s">
        <v>126</v>
      </c>
      <c r="B11" s="11" t="s">
        <v>127</v>
      </c>
      <c r="C11" s="11">
        <v>2</v>
      </c>
      <c r="D11" s="11" t="s">
        <v>18</v>
      </c>
      <c r="E11" s="11" t="s">
        <v>19</v>
      </c>
      <c r="F11" s="11" t="s">
        <v>173</v>
      </c>
    </row>
    <row r="12" spans="1:6">
      <c r="A12" s="11" t="s">
        <v>129</v>
      </c>
      <c r="B12" s="11" t="s">
        <v>130</v>
      </c>
      <c r="C12" s="11">
        <v>10</v>
      </c>
      <c r="D12" s="11" t="s">
        <v>32</v>
      </c>
      <c r="E12" s="11" t="s">
        <v>33</v>
      </c>
      <c r="F12" s="11" t="s">
        <v>173</v>
      </c>
    </row>
    <row r="13" spans="1:6">
      <c r="A13" s="11" t="s">
        <v>129</v>
      </c>
      <c r="B13" s="11" t="s">
        <v>130</v>
      </c>
      <c r="C13" s="11">
        <v>7</v>
      </c>
      <c r="D13" s="11" t="s">
        <v>75</v>
      </c>
      <c r="E13" s="11" t="s">
        <v>76</v>
      </c>
      <c r="F13" s="11" t="s">
        <v>174</v>
      </c>
    </row>
    <row r="14" spans="1:6">
      <c r="A14" s="11" t="s">
        <v>129</v>
      </c>
      <c r="B14" s="11" t="s">
        <v>130</v>
      </c>
      <c r="C14" s="11">
        <v>12</v>
      </c>
      <c r="D14" s="11" t="s">
        <v>20</v>
      </c>
      <c r="E14" s="11" t="s">
        <v>21</v>
      </c>
      <c r="F14" s="11" t="s">
        <v>174</v>
      </c>
    </row>
    <row r="15" spans="1:6">
      <c r="A15" s="11" t="s">
        <v>129</v>
      </c>
      <c r="B15" s="11" t="s">
        <v>130</v>
      </c>
      <c r="C15" s="11">
        <v>19</v>
      </c>
      <c r="D15" s="11" t="s">
        <v>14</v>
      </c>
      <c r="E15" s="11" t="s">
        <v>15</v>
      </c>
      <c r="F15" s="11" t="s">
        <v>174</v>
      </c>
    </row>
    <row r="16" spans="1:6">
      <c r="A16" s="11" t="s">
        <v>132</v>
      </c>
      <c r="B16" s="11" t="s">
        <v>133</v>
      </c>
      <c r="C16" s="11">
        <v>7</v>
      </c>
      <c r="D16" s="11" t="s">
        <v>75</v>
      </c>
      <c r="E16" s="11" t="s">
        <v>76</v>
      </c>
      <c r="F16" s="11" t="s">
        <v>173</v>
      </c>
    </row>
    <row r="17" spans="1:6">
      <c r="A17" s="11" t="s">
        <v>132</v>
      </c>
      <c r="B17" s="11" t="s">
        <v>133</v>
      </c>
      <c r="C17" s="11">
        <v>12</v>
      </c>
      <c r="D17" s="11" t="s">
        <v>20</v>
      </c>
      <c r="E17" s="11" t="s">
        <v>21</v>
      </c>
      <c r="F17" s="11" t="s">
        <v>173</v>
      </c>
    </row>
    <row r="18" spans="1:6">
      <c r="A18" s="11" t="s">
        <v>132</v>
      </c>
      <c r="B18" s="11" t="s">
        <v>133</v>
      </c>
      <c r="C18" s="11">
        <v>19</v>
      </c>
      <c r="D18" s="11" t="s">
        <v>14</v>
      </c>
      <c r="E18" s="11" t="s">
        <v>15</v>
      </c>
      <c r="F18" s="11" t="s">
        <v>174</v>
      </c>
    </row>
    <row r="19" spans="1:6">
      <c r="A19" s="11" t="s">
        <v>132</v>
      </c>
      <c r="B19" s="11" t="s">
        <v>133</v>
      </c>
      <c r="C19" s="11">
        <v>10</v>
      </c>
      <c r="D19" s="11" t="s">
        <v>32</v>
      </c>
      <c r="E19" s="11" t="s">
        <v>33</v>
      </c>
      <c r="F19" s="11" t="s">
        <v>174</v>
      </c>
    </row>
    <row r="20" spans="1:6">
      <c r="A20" s="11" t="s">
        <v>132</v>
      </c>
      <c r="B20" s="11" t="s">
        <v>133</v>
      </c>
      <c r="C20" s="11">
        <v>5</v>
      </c>
      <c r="D20" s="11" t="s">
        <v>36</v>
      </c>
      <c r="E20" s="11" t="s">
        <v>37</v>
      </c>
      <c r="F20" s="11" t="s">
        <v>174</v>
      </c>
    </row>
    <row r="21" spans="1:6">
      <c r="A21" s="11" t="s">
        <v>132</v>
      </c>
      <c r="B21" s="11" t="s">
        <v>133</v>
      </c>
      <c r="C21" s="11">
        <v>6</v>
      </c>
      <c r="D21" s="11" t="s">
        <v>28</v>
      </c>
      <c r="E21" s="11" t="s">
        <v>29</v>
      </c>
      <c r="F21" s="11" t="s">
        <v>174</v>
      </c>
    </row>
    <row r="22" spans="1:6">
      <c r="A22" s="11" t="s">
        <v>132</v>
      </c>
      <c r="B22" s="11" t="s">
        <v>133</v>
      </c>
      <c r="C22" s="11">
        <v>8</v>
      </c>
      <c r="D22" s="11" t="s">
        <v>40</v>
      </c>
      <c r="E22" s="11" t="s">
        <v>41</v>
      </c>
      <c r="F22" s="11" t="s">
        <v>174</v>
      </c>
    </row>
    <row r="23" spans="1:6">
      <c r="A23" s="11" t="s">
        <v>135</v>
      </c>
      <c r="B23" s="11" t="s">
        <v>136</v>
      </c>
      <c r="C23" s="11">
        <v>15</v>
      </c>
      <c r="D23" s="11" t="s">
        <v>42</v>
      </c>
      <c r="E23" s="11" t="s">
        <v>43</v>
      </c>
      <c r="F23" s="11" t="s">
        <v>174</v>
      </c>
    </row>
    <row r="24" spans="1:6">
      <c r="A24" s="11" t="s">
        <v>138</v>
      </c>
      <c r="B24" s="11" t="s">
        <v>139</v>
      </c>
      <c r="C24" s="11">
        <v>14</v>
      </c>
      <c r="D24" s="11" t="s">
        <v>16</v>
      </c>
      <c r="E24" s="11" t="s">
        <v>17</v>
      </c>
      <c r="F24" s="11" t="s">
        <v>173</v>
      </c>
    </row>
    <row r="25" spans="1:6">
      <c r="A25" s="11" t="s">
        <v>138</v>
      </c>
      <c r="B25" s="11" t="s">
        <v>139</v>
      </c>
      <c r="C25" s="11">
        <v>17</v>
      </c>
      <c r="D25" s="11" t="s">
        <v>108</v>
      </c>
      <c r="E25" s="11" t="s">
        <v>109</v>
      </c>
      <c r="F25" s="11" t="s">
        <v>174</v>
      </c>
    </row>
    <row r="26" spans="1:6">
      <c r="A26" s="11" t="s">
        <v>138</v>
      </c>
      <c r="B26" s="11" t="s">
        <v>139</v>
      </c>
      <c r="C26" s="11">
        <v>21</v>
      </c>
      <c r="D26" s="11" t="s">
        <v>46</v>
      </c>
      <c r="E26" s="11" t="s">
        <v>47</v>
      </c>
      <c r="F26" s="11" t="s">
        <v>174</v>
      </c>
    </row>
    <row r="27" spans="1:6">
      <c r="A27" s="11" t="s">
        <v>138</v>
      </c>
      <c r="B27" s="11" t="s">
        <v>139</v>
      </c>
      <c r="C27" s="11">
        <v>3</v>
      </c>
      <c r="D27" s="11" t="s">
        <v>26</v>
      </c>
      <c r="E27" s="11" t="s">
        <v>27</v>
      </c>
      <c r="F27" s="11" t="s">
        <v>174</v>
      </c>
    </row>
    <row r="28" spans="1:6">
      <c r="A28" s="11" t="s">
        <v>141</v>
      </c>
      <c r="B28" s="11" t="s">
        <v>142</v>
      </c>
      <c r="C28" s="11">
        <v>8</v>
      </c>
      <c r="D28" s="11" t="s">
        <v>40</v>
      </c>
      <c r="E28" s="11" t="s">
        <v>41</v>
      </c>
      <c r="F28" s="11" t="s">
        <v>174</v>
      </c>
    </row>
    <row r="29" spans="1:6">
      <c r="A29" s="11" t="s">
        <v>141</v>
      </c>
      <c r="B29" s="11" t="s">
        <v>142</v>
      </c>
      <c r="C29" s="11">
        <v>5</v>
      </c>
      <c r="D29" s="11" t="s">
        <v>36</v>
      </c>
      <c r="E29" s="11" t="s">
        <v>37</v>
      </c>
      <c r="F29" s="11" t="s">
        <v>174</v>
      </c>
    </row>
    <row r="30" spans="1:6">
      <c r="A30" s="11" t="s">
        <v>141</v>
      </c>
      <c r="B30" s="11" t="s">
        <v>142</v>
      </c>
      <c r="C30" s="11">
        <v>6</v>
      </c>
      <c r="D30" s="11" t="s">
        <v>28</v>
      </c>
      <c r="E30" s="11" t="s">
        <v>29</v>
      </c>
      <c r="F30" s="11" t="s">
        <v>174</v>
      </c>
    </row>
    <row r="31" spans="1:6">
      <c r="A31" s="11" t="s">
        <v>141</v>
      </c>
      <c r="B31" s="11" t="s">
        <v>142</v>
      </c>
      <c r="C31" s="11">
        <v>19</v>
      </c>
      <c r="D31" s="11" t="s">
        <v>14</v>
      </c>
      <c r="E31" s="11" t="s">
        <v>15</v>
      </c>
      <c r="F31" s="11" t="s">
        <v>174</v>
      </c>
    </row>
    <row r="32" spans="1:6">
      <c r="A32" s="11" t="s">
        <v>144</v>
      </c>
      <c r="B32" s="11" t="s">
        <v>145</v>
      </c>
      <c r="C32" s="11">
        <v>19</v>
      </c>
      <c r="D32" s="11" t="s">
        <v>14</v>
      </c>
      <c r="E32" s="11" t="s">
        <v>15</v>
      </c>
      <c r="F32" s="11" t="s">
        <v>174</v>
      </c>
    </row>
    <row r="33" spans="1:6">
      <c r="A33" s="11" t="s">
        <v>147</v>
      </c>
      <c r="B33" s="11" t="s">
        <v>148</v>
      </c>
      <c r="C33" s="11" t="s">
        <v>175</v>
      </c>
      <c r="D33" s="11" t="s">
        <v>175</v>
      </c>
      <c r="E33" s="11" t="s">
        <v>175</v>
      </c>
      <c r="F33" s="11" t="s">
        <v>176</v>
      </c>
    </row>
    <row r="34" spans="1:6">
      <c r="A34" s="11" t="s">
        <v>150</v>
      </c>
      <c r="B34" s="11" t="s">
        <v>151</v>
      </c>
      <c r="C34" s="11" t="s">
        <v>175</v>
      </c>
      <c r="D34" s="11" t="s">
        <v>175</v>
      </c>
      <c r="E34" s="11" t="s">
        <v>175</v>
      </c>
      <c r="F34" s="11" t="s">
        <v>176</v>
      </c>
    </row>
    <row r="35" spans="1:6">
      <c r="A35" s="11" t="s">
        <v>8</v>
      </c>
      <c r="B35" s="11" t="s">
        <v>9</v>
      </c>
      <c r="C35" s="11">
        <v>9</v>
      </c>
      <c r="D35" s="11" t="s">
        <v>10</v>
      </c>
      <c r="E35" s="11" t="s">
        <v>11</v>
      </c>
      <c r="F35" s="11" t="s">
        <v>173</v>
      </c>
    </row>
    <row r="36" spans="1:6">
      <c r="A36" s="11" t="s">
        <v>30</v>
      </c>
      <c r="B36" s="11" t="s">
        <v>31</v>
      </c>
      <c r="C36" s="11">
        <v>16</v>
      </c>
      <c r="D36" s="11" t="s">
        <v>12</v>
      </c>
      <c r="E36" s="11" t="s">
        <v>13</v>
      </c>
      <c r="F36" s="11" t="s">
        <v>173</v>
      </c>
    </row>
    <row r="37" spans="1:6">
      <c r="A37" s="11" t="s">
        <v>38</v>
      </c>
      <c r="B37" s="11" t="s">
        <v>39</v>
      </c>
      <c r="C37" s="11">
        <v>18</v>
      </c>
      <c r="D37" s="11" t="s">
        <v>24</v>
      </c>
      <c r="E37" s="11" t="s">
        <v>25</v>
      </c>
      <c r="F37" s="11" t="s">
        <v>173</v>
      </c>
    </row>
    <row r="38" spans="1:6">
      <c r="A38" s="11" t="s">
        <v>38</v>
      </c>
      <c r="B38" s="11" t="s">
        <v>39</v>
      </c>
      <c r="C38" s="11">
        <v>3</v>
      </c>
      <c r="D38" s="11" t="s">
        <v>26</v>
      </c>
      <c r="E38" s="11" t="s">
        <v>27</v>
      </c>
      <c r="F38" s="11" t="s">
        <v>174</v>
      </c>
    </row>
    <row r="39" spans="1:6">
      <c r="A39" s="11" t="s">
        <v>44</v>
      </c>
      <c r="B39" s="11" t="s">
        <v>45</v>
      </c>
      <c r="C39" s="11">
        <v>3</v>
      </c>
      <c r="D39" s="11" t="s">
        <v>26</v>
      </c>
      <c r="E39" s="11" t="s">
        <v>27</v>
      </c>
      <c r="F39" s="11" t="s">
        <v>173</v>
      </c>
    </row>
    <row r="40" spans="1:6">
      <c r="A40" s="11" t="s">
        <v>44</v>
      </c>
      <c r="B40" s="11" t="s">
        <v>45</v>
      </c>
      <c r="C40" s="11">
        <v>18</v>
      </c>
      <c r="D40" s="11" t="s">
        <v>24</v>
      </c>
      <c r="E40" s="11" t="s">
        <v>25</v>
      </c>
      <c r="F40" s="11" t="s">
        <v>174</v>
      </c>
    </row>
    <row r="41" spans="1:6">
      <c r="A41" s="11" t="s">
        <v>44</v>
      </c>
      <c r="B41" s="11" t="s">
        <v>45</v>
      </c>
      <c r="C41" s="11">
        <v>14</v>
      </c>
      <c r="D41" s="11" t="s">
        <v>16</v>
      </c>
      <c r="E41" s="11" t="s">
        <v>17</v>
      </c>
      <c r="F41" s="11" t="s">
        <v>174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1"/>
  <sheetViews>
    <sheetView workbookViewId="0">
      <selection sqref="A1:H1"/>
    </sheetView>
  </sheetViews>
  <sheetFormatPr defaultRowHeight="14"/>
  <cols>
    <col min="1" max="1" width="13.08203125" style="14" customWidth="1"/>
    <col min="2" max="2" width="41.9140625" style="14" customWidth="1"/>
    <col min="3" max="3" width="10.5" style="14" customWidth="1"/>
    <col min="4" max="4" width="37" style="14" customWidth="1"/>
    <col min="5" max="5" width="45.25" style="14" customWidth="1"/>
    <col min="6" max="6" width="15.83203125" style="14" customWidth="1"/>
    <col min="7" max="7" width="14.58203125" style="14" customWidth="1"/>
    <col min="8" max="8" width="16.5" style="14" customWidth="1"/>
    <col min="9" max="15" width="8.6640625" style="14" customWidth="1"/>
    <col min="16" max="16384" width="8.6640625" style="14"/>
  </cols>
  <sheetData>
    <row r="1" spans="1:8">
      <c r="A1" s="12" t="s">
        <v>0</v>
      </c>
      <c r="B1" s="12" t="s">
        <v>1</v>
      </c>
      <c r="C1" s="12" t="s">
        <v>2</v>
      </c>
      <c r="D1" s="12" t="s">
        <v>3</v>
      </c>
      <c r="E1" s="12" t="s">
        <v>4</v>
      </c>
      <c r="F1" s="12" t="s">
        <v>5</v>
      </c>
      <c r="G1" s="12" t="s">
        <v>6</v>
      </c>
      <c r="H1" s="12" t="s">
        <v>7</v>
      </c>
    </row>
    <row r="2" spans="1:8" ht="35.5" customHeight="1">
      <c r="A2" s="15" t="s">
        <v>135</v>
      </c>
      <c r="B2" s="15" t="s">
        <v>136</v>
      </c>
      <c r="C2" s="15">
        <v>1</v>
      </c>
      <c r="D2" s="15" t="s">
        <v>14</v>
      </c>
      <c r="E2" s="15" t="s">
        <v>15</v>
      </c>
      <c r="F2" s="13">
        <v>0.51380000000000003</v>
      </c>
      <c r="G2" s="15" t="str">
        <f>IF(COUNTIFS('Question-Article-Match'!$A:$A,A2,'Question-Article-Match'!$C:$C,C2,'Question-Article-Match'!$F:$F,"direct match")&gt;0,"direct match",IF(COUNTIFS('Question-Article-Match'!$A:$A,A2,'Question-Article-Match'!$C:$C,C2,'Question-Article-Match'!$F:$F,"indirect match")&gt;0,"indirect match","no match"))</f>
        <v>no match</v>
      </c>
      <c r="H2" s="14" t="b">
        <f t="shared" ref="H2:H41" si="0">IF($F2&lt;0.4,TRUE,FALSE)</f>
        <v>0</v>
      </c>
    </row>
    <row r="3" spans="1:8" ht="35.5" customHeight="1">
      <c r="A3" s="15" t="s">
        <v>135</v>
      </c>
      <c r="B3" s="15" t="s">
        <v>136</v>
      </c>
      <c r="C3" s="15">
        <v>2</v>
      </c>
      <c r="D3" s="15" t="s">
        <v>12</v>
      </c>
      <c r="E3" s="15" t="s">
        <v>13</v>
      </c>
      <c r="F3" s="13">
        <v>0.47860000000000003</v>
      </c>
      <c r="G3" s="15" t="str">
        <f>IF(COUNTIFS('Question-Article-Match'!$A:$A,A3,'Question-Article-Match'!$C:$C,C3,'Question-Article-Match'!$F:$F,"direct match")&gt;0,"direct match",IF(COUNTIFS('Question-Article-Match'!$A:$A,A3,'Question-Article-Match'!$C:$C,C3,'Question-Article-Match'!$F:$F,"indirect match")&gt;0,"indirect match","no match"))</f>
        <v>no match</v>
      </c>
      <c r="H3" s="14" t="b">
        <f t="shared" si="0"/>
        <v>0</v>
      </c>
    </row>
    <row r="4" spans="1:8" ht="35.5" customHeight="1">
      <c r="A4" s="15" t="s">
        <v>135</v>
      </c>
      <c r="B4" s="15" t="s">
        <v>136</v>
      </c>
      <c r="C4" s="15">
        <v>3</v>
      </c>
      <c r="D4" s="15" t="s">
        <v>16</v>
      </c>
      <c r="E4" s="15" t="s">
        <v>17</v>
      </c>
      <c r="F4" s="13">
        <v>0.46529999999999999</v>
      </c>
      <c r="G4" s="15" t="str">
        <f>IF(COUNTIFS('Question-Article-Match'!$A:$A,A4,'Question-Article-Match'!$C:$C,C4,'Question-Article-Match'!$F:$F,"direct match")&gt;0,"direct match",IF(COUNTIFS('Question-Article-Match'!$A:$A,A4,'Question-Article-Match'!$C:$C,C4,'Question-Article-Match'!$F:$F,"indirect match")&gt;0,"indirect match","no match"))</f>
        <v>no match</v>
      </c>
      <c r="H4" s="14" t="b">
        <f t="shared" si="0"/>
        <v>0</v>
      </c>
    </row>
    <row r="5" spans="1:8" ht="35.5" customHeight="1">
      <c r="A5" s="15" t="s">
        <v>135</v>
      </c>
      <c r="B5" s="15" t="s">
        <v>136</v>
      </c>
      <c r="C5" s="15">
        <v>4</v>
      </c>
      <c r="D5" s="15" t="s">
        <v>18</v>
      </c>
      <c r="E5" s="15" t="s">
        <v>19</v>
      </c>
      <c r="F5" s="13">
        <v>0.35299999999999998</v>
      </c>
      <c r="G5" s="15" t="str">
        <f>IF(COUNTIFS('Question-Article-Match'!$A:$A,A5,'Question-Article-Match'!$C:$C,C5,'Question-Article-Match'!$F:$F,"direct match")&gt;0,"direct match",IF(COUNTIFS('Question-Article-Match'!$A:$A,A5,'Question-Article-Match'!$C:$C,C5,'Question-Article-Match'!$F:$F,"indirect match")&gt;0,"indirect match","no match"))</f>
        <v>no match</v>
      </c>
      <c r="H5" s="14" t="b">
        <f t="shared" si="0"/>
        <v>1</v>
      </c>
    </row>
    <row r="6" spans="1:8" ht="35.5" customHeight="1">
      <c r="A6" s="15" t="s">
        <v>135</v>
      </c>
      <c r="B6" s="15" t="s">
        <v>136</v>
      </c>
      <c r="C6" s="15">
        <v>5</v>
      </c>
      <c r="D6" s="15" t="s">
        <v>26</v>
      </c>
      <c r="E6" s="15" t="s">
        <v>27</v>
      </c>
      <c r="F6" s="13">
        <v>0.33700000000000002</v>
      </c>
      <c r="G6" s="15" t="str">
        <f>IF(COUNTIFS('Question-Article-Match'!$A:$A,A6,'Question-Article-Match'!$C:$C,C6,'Question-Article-Match'!$F:$F,"direct match")&gt;0,"direct match",IF(COUNTIFS('Question-Article-Match'!$A:$A,A6,'Question-Article-Match'!$C:$C,C6,'Question-Article-Match'!$F:$F,"indirect match")&gt;0,"indirect match","no match"))</f>
        <v>no match</v>
      </c>
      <c r="H6" s="14" t="b">
        <f t="shared" si="0"/>
        <v>1</v>
      </c>
    </row>
    <row r="7" spans="1:8" ht="35.5" customHeight="1">
      <c r="A7" s="15" t="s">
        <v>135</v>
      </c>
      <c r="B7" s="15" t="s">
        <v>136</v>
      </c>
      <c r="C7" s="15">
        <v>6</v>
      </c>
      <c r="D7" s="15" t="s">
        <v>24</v>
      </c>
      <c r="E7" s="15" t="s">
        <v>25</v>
      </c>
      <c r="F7" s="13">
        <v>0.32490000000000002</v>
      </c>
      <c r="G7" s="15" t="str">
        <f>IF(COUNTIFS('Question-Article-Match'!$A:$A,A7,'Question-Article-Match'!$C:$C,C7,'Question-Article-Match'!$F:$F,"direct match")&gt;0,"direct match",IF(COUNTIFS('Question-Article-Match'!$A:$A,A7,'Question-Article-Match'!$C:$C,C7,'Question-Article-Match'!$F:$F,"indirect match")&gt;0,"indirect match","no match"))</f>
        <v>no match</v>
      </c>
      <c r="H7" s="14" t="b">
        <f t="shared" si="0"/>
        <v>1</v>
      </c>
    </row>
    <row r="8" spans="1:8" ht="35.5" customHeight="1">
      <c r="A8" s="15" t="s">
        <v>135</v>
      </c>
      <c r="B8" s="15" t="s">
        <v>136</v>
      </c>
      <c r="C8" s="15">
        <v>7</v>
      </c>
      <c r="D8" s="15" t="s">
        <v>20</v>
      </c>
      <c r="E8" s="15" t="s">
        <v>21</v>
      </c>
      <c r="F8" s="13">
        <v>0.29630000000000001</v>
      </c>
      <c r="G8" s="15" t="str">
        <f>IF(COUNTIFS('Question-Article-Match'!$A:$A,A8,'Question-Article-Match'!$C:$C,C8,'Question-Article-Match'!$F:$F,"direct match")&gt;0,"direct match",IF(COUNTIFS('Question-Article-Match'!$A:$A,A8,'Question-Article-Match'!$C:$C,C8,'Question-Article-Match'!$F:$F,"indirect match")&gt;0,"indirect match","no match"))</f>
        <v>no match</v>
      </c>
      <c r="H8" s="14" t="b">
        <f t="shared" si="0"/>
        <v>1</v>
      </c>
    </row>
    <row r="9" spans="1:8" ht="35.5" customHeight="1">
      <c r="A9" s="15" t="s">
        <v>135</v>
      </c>
      <c r="B9" s="15" t="s">
        <v>136</v>
      </c>
      <c r="C9" s="15">
        <v>8</v>
      </c>
      <c r="D9" s="15" t="s">
        <v>22</v>
      </c>
      <c r="E9" s="15" t="s">
        <v>23</v>
      </c>
      <c r="F9" s="13">
        <v>0.28439999999999999</v>
      </c>
      <c r="G9" s="15" t="str">
        <f>IF(COUNTIFS('Question-Article-Match'!$A:$A,A9,'Question-Article-Match'!$C:$C,C9,'Question-Article-Match'!$F:$F,"direct match")&gt;0,"direct match",IF(COUNTIFS('Question-Article-Match'!$A:$A,A9,'Question-Article-Match'!$C:$C,C9,'Question-Article-Match'!$F:$F,"indirect match")&gt;0,"indirect match","no match"))</f>
        <v>no match</v>
      </c>
      <c r="H9" s="14" t="b">
        <f t="shared" si="0"/>
        <v>1</v>
      </c>
    </row>
    <row r="10" spans="1:8" ht="35.5" customHeight="1">
      <c r="A10" s="15" t="s">
        <v>135</v>
      </c>
      <c r="B10" s="15" t="s">
        <v>136</v>
      </c>
      <c r="C10" s="15">
        <v>9</v>
      </c>
      <c r="D10" s="15" t="s">
        <v>36</v>
      </c>
      <c r="E10" s="15" t="s">
        <v>37</v>
      </c>
      <c r="F10" s="13">
        <v>0.27160000000000001</v>
      </c>
      <c r="G10" s="15" t="str">
        <f>IF(COUNTIFS('Question-Article-Match'!$A:$A,A10,'Question-Article-Match'!$C:$C,C10,'Question-Article-Match'!$F:$F,"direct match")&gt;0,"direct match",IF(COUNTIFS('Question-Article-Match'!$A:$A,A10,'Question-Article-Match'!$C:$C,C10,'Question-Article-Match'!$F:$F,"indirect match")&gt;0,"indirect match","no match"))</f>
        <v>no match</v>
      </c>
      <c r="H10" s="14" t="b">
        <f t="shared" si="0"/>
        <v>1</v>
      </c>
    </row>
    <row r="11" spans="1:8" ht="35.5" customHeight="1">
      <c r="A11" s="15" t="s">
        <v>135</v>
      </c>
      <c r="B11" s="15" t="s">
        <v>136</v>
      </c>
      <c r="C11" s="15">
        <v>10</v>
      </c>
      <c r="D11" s="15" t="s">
        <v>40</v>
      </c>
      <c r="E11" s="15" t="s">
        <v>41</v>
      </c>
      <c r="F11" s="13">
        <v>0.26400000000000001</v>
      </c>
      <c r="G11" s="15" t="str">
        <f>IF(COUNTIFS('Question-Article-Match'!$A:$A,A11,'Question-Article-Match'!$C:$C,C11,'Question-Article-Match'!$F:$F,"direct match")&gt;0,"direct match",IF(COUNTIFS('Question-Article-Match'!$A:$A,A11,'Question-Article-Match'!$C:$C,C11,'Question-Article-Match'!$F:$F,"indirect match")&gt;0,"indirect match","no match"))</f>
        <v>no match</v>
      </c>
      <c r="H11" s="14" t="b">
        <f t="shared" si="0"/>
        <v>1</v>
      </c>
    </row>
    <row r="12" spans="1:8" ht="28" customHeight="1">
      <c r="A12" s="15" t="s">
        <v>123</v>
      </c>
      <c r="B12" s="15" t="s">
        <v>124</v>
      </c>
      <c r="C12" s="15">
        <v>1</v>
      </c>
      <c r="D12" s="15" t="s">
        <v>12</v>
      </c>
      <c r="E12" s="15" t="s">
        <v>13</v>
      </c>
      <c r="F12" s="13">
        <v>0.49890000000000001</v>
      </c>
      <c r="G12" s="15" t="str">
        <f>IF(COUNTIFS('Question-Article-Match'!$A:$A,A12,'Question-Article-Match'!$C:$C,C12,'Question-Article-Match'!$F:$F,"direct match")&gt;0,"direct match",IF(COUNTIFS('Question-Article-Match'!$A:$A,A12,'Question-Article-Match'!$C:$C,C12,'Question-Article-Match'!$F:$F,"indirect match")&gt;0,"indirect match","no match"))</f>
        <v>indirect match</v>
      </c>
      <c r="H12" s="14" t="b">
        <f t="shared" si="0"/>
        <v>0</v>
      </c>
    </row>
    <row r="13" spans="1:8" ht="42" customHeight="1">
      <c r="A13" s="15" t="s">
        <v>123</v>
      </c>
      <c r="B13" s="15" t="s">
        <v>124</v>
      </c>
      <c r="C13" s="15">
        <v>2</v>
      </c>
      <c r="D13" s="15" t="s">
        <v>14</v>
      </c>
      <c r="E13" s="15" t="s">
        <v>15</v>
      </c>
      <c r="F13" s="13">
        <v>0.44330000000000003</v>
      </c>
      <c r="G13" s="15" t="str">
        <f>IF(COUNTIFS('Question-Article-Match'!$A:$A,A13,'Question-Article-Match'!$C:$C,C13,'Question-Article-Match'!$F:$F,"direct match")&gt;0,"direct match",IF(COUNTIFS('Question-Article-Match'!$A:$A,A13,'Question-Article-Match'!$C:$C,C13,'Question-Article-Match'!$F:$F,"indirect match")&gt;0,"indirect match","no match"))</f>
        <v>indirect match</v>
      </c>
      <c r="H13" s="14" t="b">
        <f t="shared" si="0"/>
        <v>0</v>
      </c>
    </row>
    <row r="14" spans="1:8" ht="28" customHeight="1">
      <c r="A14" s="15" t="s">
        <v>123</v>
      </c>
      <c r="B14" s="15" t="s">
        <v>124</v>
      </c>
      <c r="C14" s="15">
        <v>3</v>
      </c>
      <c r="D14" s="15" t="s">
        <v>16</v>
      </c>
      <c r="E14" s="15" t="s">
        <v>17</v>
      </c>
      <c r="F14" s="13">
        <v>0.42949999999999999</v>
      </c>
      <c r="G14" s="15" t="str">
        <f>IF(COUNTIFS('Question-Article-Match'!$A:$A,A14,'Question-Article-Match'!$C:$C,C14,'Question-Article-Match'!$F:$F,"direct match")&gt;0,"direct match",IF(COUNTIFS('Question-Article-Match'!$A:$A,A14,'Question-Article-Match'!$C:$C,C14,'Question-Article-Match'!$F:$F,"indirect match")&gt;0,"indirect match","no match"))</f>
        <v>no match</v>
      </c>
      <c r="H14" s="14" t="b">
        <f t="shared" si="0"/>
        <v>0</v>
      </c>
    </row>
    <row r="15" spans="1:8" ht="28" customHeight="1">
      <c r="A15" s="15" t="s">
        <v>123</v>
      </c>
      <c r="B15" s="15" t="s">
        <v>124</v>
      </c>
      <c r="C15" s="15">
        <v>4</v>
      </c>
      <c r="D15" s="15" t="s">
        <v>10</v>
      </c>
      <c r="E15" s="15" t="s">
        <v>11</v>
      </c>
      <c r="F15" s="13">
        <v>0.38030000000000003</v>
      </c>
      <c r="G15" s="15" t="str">
        <f>IF(COUNTIFS('Question-Article-Match'!$A:$A,A15,'Question-Article-Match'!$C:$C,C15,'Question-Article-Match'!$F:$F,"direct match")&gt;0,"direct match",IF(COUNTIFS('Question-Article-Match'!$A:$A,A15,'Question-Article-Match'!$C:$C,C15,'Question-Article-Match'!$F:$F,"indirect match")&gt;0,"indirect match","no match"))</f>
        <v>no match</v>
      </c>
      <c r="H15" s="14" t="b">
        <f t="shared" si="0"/>
        <v>1</v>
      </c>
    </row>
    <row r="16" spans="1:8" ht="28" customHeight="1">
      <c r="A16" s="15" t="s">
        <v>123</v>
      </c>
      <c r="B16" s="15" t="s">
        <v>124</v>
      </c>
      <c r="C16" s="15">
        <v>5</v>
      </c>
      <c r="D16" s="15" t="s">
        <v>26</v>
      </c>
      <c r="E16" s="15" t="s">
        <v>27</v>
      </c>
      <c r="F16" s="13">
        <v>0.3352</v>
      </c>
      <c r="G16" s="15" t="str">
        <f>IF(COUNTIFS('Question-Article-Match'!$A:$A,A16,'Question-Article-Match'!$C:$C,C16,'Question-Article-Match'!$F:$F,"direct match")&gt;0,"direct match",IF(COUNTIFS('Question-Article-Match'!$A:$A,A16,'Question-Article-Match'!$C:$C,C16,'Question-Article-Match'!$F:$F,"indirect match")&gt;0,"indirect match","no match"))</f>
        <v>no match</v>
      </c>
      <c r="H16" s="14" t="b">
        <f t="shared" si="0"/>
        <v>1</v>
      </c>
    </row>
    <row r="17" spans="1:8" ht="28" customHeight="1">
      <c r="A17" s="15" t="s">
        <v>123</v>
      </c>
      <c r="B17" s="15" t="s">
        <v>124</v>
      </c>
      <c r="C17" s="15">
        <v>6</v>
      </c>
      <c r="D17" s="15" t="s">
        <v>24</v>
      </c>
      <c r="E17" s="15" t="s">
        <v>25</v>
      </c>
      <c r="F17" s="13">
        <v>0.32240000000000002</v>
      </c>
      <c r="G17" s="15" t="str">
        <f>IF(COUNTIFS('Question-Article-Match'!$A:$A,A17,'Question-Article-Match'!$C:$C,C17,'Question-Article-Match'!$F:$F,"direct match")&gt;0,"direct match",IF(COUNTIFS('Question-Article-Match'!$A:$A,A17,'Question-Article-Match'!$C:$C,C17,'Question-Article-Match'!$F:$F,"indirect match")&gt;0,"indirect match","no match"))</f>
        <v>no match</v>
      </c>
      <c r="H17" s="14" t="b">
        <f t="shared" si="0"/>
        <v>1</v>
      </c>
    </row>
    <row r="18" spans="1:8" ht="28" customHeight="1">
      <c r="A18" s="15" t="s">
        <v>123</v>
      </c>
      <c r="B18" s="15" t="s">
        <v>124</v>
      </c>
      <c r="C18" s="15">
        <v>7</v>
      </c>
      <c r="D18" s="15" t="s">
        <v>22</v>
      </c>
      <c r="E18" s="15" t="s">
        <v>23</v>
      </c>
      <c r="F18" s="13">
        <v>0.32050000000000001</v>
      </c>
      <c r="G18" s="15" t="str">
        <f>IF(COUNTIFS('Question-Article-Match'!$A:$A,A18,'Question-Article-Match'!$C:$C,C18,'Question-Article-Match'!$F:$F,"direct match")&gt;0,"direct match",IF(COUNTIFS('Question-Article-Match'!$A:$A,A18,'Question-Article-Match'!$C:$C,C18,'Question-Article-Match'!$F:$F,"indirect match")&gt;0,"indirect match","no match"))</f>
        <v>no match</v>
      </c>
      <c r="H18" s="14" t="b">
        <f t="shared" si="0"/>
        <v>1</v>
      </c>
    </row>
    <row r="19" spans="1:8" ht="28" customHeight="1">
      <c r="A19" s="15" t="s">
        <v>123</v>
      </c>
      <c r="B19" s="15" t="s">
        <v>124</v>
      </c>
      <c r="C19" s="15">
        <v>8</v>
      </c>
      <c r="D19" s="15" t="s">
        <v>20</v>
      </c>
      <c r="E19" s="15" t="s">
        <v>21</v>
      </c>
      <c r="F19" s="13">
        <v>0.31919999999999998</v>
      </c>
      <c r="G19" s="15" t="str">
        <f>IF(COUNTIFS('Question-Article-Match'!$A:$A,A19,'Question-Article-Match'!$C:$C,C19,'Question-Article-Match'!$F:$F,"direct match")&gt;0,"direct match",IF(COUNTIFS('Question-Article-Match'!$A:$A,A19,'Question-Article-Match'!$C:$C,C19,'Question-Article-Match'!$F:$F,"indirect match")&gt;0,"indirect match","no match"))</f>
        <v>no match</v>
      </c>
      <c r="H19" s="14" t="b">
        <f t="shared" si="0"/>
        <v>1</v>
      </c>
    </row>
    <row r="20" spans="1:8" ht="28" customHeight="1">
      <c r="A20" s="15" t="s">
        <v>123</v>
      </c>
      <c r="B20" s="15" t="s">
        <v>124</v>
      </c>
      <c r="C20" s="15">
        <v>9</v>
      </c>
      <c r="D20" s="15" t="s">
        <v>18</v>
      </c>
      <c r="E20" s="15" t="s">
        <v>19</v>
      </c>
      <c r="F20" s="13">
        <v>0.31690000000000002</v>
      </c>
      <c r="G20" s="15" t="str">
        <f>IF(COUNTIFS('Question-Article-Match'!$A:$A,A20,'Question-Article-Match'!$C:$C,C20,'Question-Article-Match'!$F:$F,"direct match")&gt;0,"direct match",IF(COUNTIFS('Question-Article-Match'!$A:$A,A20,'Question-Article-Match'!$C:$C,C20,'Question-Article-Match'!$F:$F,"indirect match")&gt;0,"indirect match","no match"))</f>
        <v>indirect match</v>
      </c>
      <c r="H20" s="14" t="b">
        <f t="shared" si="0"/>
        <v>1</v>
      </c>
    </row>
    <row r="21" spans="1:8">
      <c r="A21" s="15" t="s">
        <v>123</v>
      </c>
      <c r="B21" s="15" t="s">
        <v>124</v>
      </c>
      <c r="C21" s="15">
        <v>10</v>
      </c>
      <c r="D21" s="15" t="s">
        <v>36</v>
      </c>
      <c r="E21" s="15" t="s">
        <v>37</v>
      </c>
      <c r="F21" s="13">
        <v>0.25369999999999998</v>
      </c>
      <c r="G21" s="15" t="str">
        <f>IF(COUNTIFS('Question-Article-Match'!$A:$A,A21,'Question-Article-Match'!$C:$C,C21,'Question-Article-Match'!$F:$F,"direct match")&gt;0,"direct match",IF(COUNTIFS('Question-Article-Match'!$A:$A,A21,'Question-Article-Match'!$C:$C,C21,'Question-Article-Match'!$F:$F,"indirect match")&gt;0,"indirect match","no match"))</f>
        <v>no match</v>
      </c>
      <c r="H21" s="14" t="b">
        <f t="shared" si="0"/>
        <v>1</v>
      </c>
    </row>
    <row r="22" spans="1:8" ht="42" customHeight="1">
      <c r="A22" s="15" t="s">
        <v>150</v>
      </c>
      <c r="B22" s="15" t="s">
        <v>151</v>
      </c>
      <c r="C22" s="15">
        <v>1</v>
      </c>
      <c r="D22" s="15" t="s">
        <v>14</v>
      </c>
      <c r="E22" s="15" t="s">
        <v>15</v>
      </c>
      <c r="F22" s="13">
        <v>0.3836</v>
      </c>
      <c r="G22" s="15" t="str">
        <f>IF(COUNTIFS('Question-Article-Match'!$A:$A,A22,'Question-Article-Match'!$C:$C,C22,'Question-Article-Match'!$F:$F,"direct match")&gt;0,"direct match",IF(COUNTIFS('Question-Article-Match'!$A:$A,A22,'Question-Article-Match'!$C:$C,C22,'Question-Article-Match'!$F:$F,"indirect match")&gt;0,"indirect match","no match"))</f>
        <v>no match</v>
      </c>
      <c r="H22" s="14" t="b">
        <f t="shared" si="0"/>
        <v>1</v>
      </c>
    </row>
    <row r="23" spans="1:8" ht="28" customHeight="1">
      <c r="A23" s="15" t="s">
        <v>150</v>
      </c>
      <c r="B23" s="15" t="s">
        <v>151</v>
      </c>
      <c r="C23" s="15">
        <v>2</v>
      </c>
      <c r="D23" s="15" t="s">
        <v>12</v>
      </c>
      <c r="E23" s="15" t="s">
        <v>13</v>
      </c>
      <c r="F23" s="13">
        <v>0.31619999999999998</v>
      </c>
      <c r="G23" s="15" t="str">
        <f>IF(COUNTIFS('Question-Article-Match'!$A:$A,A23,'Question-Article-Match'!$C:$C,C23,'Question-Article-Match'!$F:$F,"direct match")&gt;0,"direct match",IF(COUNTIFS('Question-Article-Match'!$A:$A,A23,'Question-Article-Match'!$C:$C,C23,'Question-Article-Match'!$F:$F,"indirect match")&gt;0,"indirect match","no match"))</f>
        <v>no match</v>
      </c>
      <c r="H23" s="14" t="b">
        <f t="shared" si="0"/>
        <v>1</v>
      </c>
    </row>
    <row r="24" spans="1:8" ht="28" customHeight="1">
      <c r="A24" s="15" t="s">
        <v>150</v>
      </c>
      <c r="B24" s="15" t="s">
        <v>151</v>
      </c>
      <c r="C24" s="15">
        <v>3</v>
      </c>
      <c r="D24" s="15" t="s">
        <v>20</v>
      </c>
      <c r="E24" s="15" t="s">
        <v>21</v>
      </c>
      <c r="F24" s="13">
        <v>0.29609999999999997</v>
      </c>
      <c r="G24" s="15" t="str">
        <f>IF(COUNTIFS('Question-Article-Match'!$A:$A,A24,'Question-Article-Match'!$C:$C,C24,'Question-Article-Match'!$F:$F,"direct match")&gt;0,"direct match",IF(COUNTIFS('Question-Article-Match'!$A:$A,A24,'Question-Article-Match'!$C:$C,C24,'Question-Article-Match'!$F:$F,"indirect match")&gt;0,"indirect match","no match"))</f>
        <v>no match</v>
      </c>
      <c r="H24" s="14" t="b">
        <f t="shared" si="0"/>
        <v>1</v>
      </c>
    </row>
    <row r="25" spans="1:8" ht="28" customHeight="1">
      <c r="A25" s="15" t="s">
        <v>150</v>
      </c>
      <c r="B25" s="15" t="s">
        <v>151</v>
      </c>
      <c r="C25" s="15">
        <v>4</v>
      </c>
      <c r="D25" s="15" t="s">
        <v>26</v>
      </c>
      <c r="E25" s="15" t="s">
        <v>27</v>
      </c>
      <c r="F25" s="13">
        <v>0.22919999999999999</v>
      </c>
      <c r="G25" s="15" t="str">
        <f>IF(COUNTIFS('Question-Article-Match'!$A:$A,A25,'Question-Article-Match'!$C:$C,C25,'Question-Article-Match'!$F:$F,"direct match")&gt;0,"direct match",IF(COUNTIFS('Question-Article-Match'!$A:$A,A25,'Question-Article-Match'!$C:$C,C25,'Question-Article-Match'!$F:$F,"indirect match")&gt;0,"indirect match","no match"))</f>
        <v>no match</v>
      </c>
      <c r="H25" s="14" t="b">
        <f t="shared" si="0"/>
        <v>1</v>
      </c>
    </row>
    <row r="26" spans="1:8" ht="28" customHeight="1">
      <c r="A26" s="15" t="s">
        <v>150</v>
      </c>
      <c r="B26" s="15" t="s">
        <v>151</v>
      </c>
      <c r="C26" s="15">
        <v>5</v>
      </c>
      <c r="D26" s="15" t="s">
        <v>32</v>
      </c>
      <c r="E26" s="15" t="s">
        <v>33</v>
      </c>
      <c r="F26" s="13">
        <v>0.2162</v>
      </c>
      <c r="G26" s="15" t="str">
        <f>IF(COUNTIFS('Question-Article-Match'!$A:$A,A26,'Question-Article-Match'!$C:$C,C26,'Question-Article-Match'!$F:$F,"direct match")&gt;0,"direct match",IF(COUNTIFS('Question-Article-Match'!$A:$A,A26,'Question-Article-Match'!$C:$C,C26,'Question-Article-Match'!$F:$F,"indirect match")&gt;0,"indirect match","no match"))</f>
        <v>no match</v>
      </c>
      <c r="H26" s="14" t="b">
        <f t="shared" si="0"/>
        <v>1</v>
      </c>
    </row>
    <row r="27" spans="1:8" ht="28" customHeight="1">
      <c r="A27" s="15" t="s">
        <v>150</v>
      </c>
      <c r="B27" s="15" t="s">
        <v>151</v>
      </c>
      <c r="C27" s="15">
        <v>6</v>
      </c>
      <c r="D27" s="15" t="s">
        <v>36</v>
      </c>
      <c r="E27" s="15" t="s">
        <v>37</v>
      </c>
      <c r="F27" s="13">
        <v>0.20449999999999999</v>
      </c>
      <c r="G27" s="15" t="str">
        <f>IF(COUNTIFS('Question-Article-Match'!$A:$A,A27,'Question-Article-Match'!$C:$C,C27,'Question-Article-Match'!$F:$F,"direct match")&gt;0,"direct match",IF(COUNTIFS('Question-Article-Match'!$A:$A,A27,'Question-Article-Match'!$C:$C,C27,'Question-Article-Match'!$F:$F,"indirect match")&gt;0,"indirect match","no match"))</f>
        <v>no match</v>
      </c>
      <c r="H27" s="14" t="b">
        <f t="shared" si="0"/>
        <v>1</v>
      </c>
    </row>
    <row r="28" spans="1:8" ht="28" customHeight="1">
      <c r="A28" s="15" t="s">
        <v>150</v>
      </c>
      <c r="B28" s="15" t="s">
        <v>151</v>
      </c>
      <c r="C28" s="15">
        <v>7</v>
      </c>
      <c r="D28" s="15" t="s">
        <v>75</v>
      </c>
      <c r="E28" s="15" t="s">
        <v>76</v>
      </c>
      <c r="F28" s="13">
        <v>0.19040000000000001</v>
      </c>
      <c r="G28" s="15" t="str">
        <f>IF(COUNTIFS('Question-Article-Match'!$A:$A,A28,'Question-Article-Match'!$C:$C,C28,'Question-Article-Match'!$F:$F,"direct match")&gt;0,"direct match",IF(COUNTIFS('Question-Article-Match'!$A:$A,A28,'Question-Article-Match'!$C:$C,C28,'Question-Article-Match'!$F:$F,"indirect match")&gt;0,"indirect match","no match"))</f>
        <v>no match</v>
      </c>
      <c r="H28" s="14" t="b">
        <f t="shared" si="0"/>
        <v>1</v>
      </c>
    </row>
    <row r="29" spans="1:8" ht="28" customHeight="1">
      <c r="A29" s="15" t="s">
        <v>150</v>
      </c>
      <c r="B29" s="15" t="s">
        <v>151</v>
      </c>
      <c r="C29" s="15">
        <v>8</v>
      </c>
      <c r="D29" s="15" t="s">
        <v>16</v>
      </c>
      <c r="E29" s="15" t="s">
        <v>17</v>
      </c>
      <c r="F29" s="13">
        <v>0.18820000000000001</v>
      </c>
      <c r="G29" s="15" t="str">
        <f>IF(COUNTIFS('Question-Article-Match'!$A:$A,A29,'Question-Article-Match'!$C:$C,C29,'Question-Article-Match'!$F:$F,"direct match")&gt;0,"direct match",IF(COUNTIFS('Question-Article-Match'!$A:$A,A29,'Question-Article-Match'!$C:$C,C29,'Question-Article-Match'!$F:$F,"indirect match")&gt;0,"indirect match","no match"))</f>
        <v>no match</v>
      </c>
      <c r="H29" s="14" t="b">
        <f t="shared" si="0"/>
        <v>1</v>
      </c>
    </row>
    <row r="30" spans="1:8" ht="28" customHeight="1">
      <c r="A30" s="15" t="s">
        <v>150</v>
      </c>
      <c r="B30" s="15" t="s">
        <v>151</v>
      </c>
      <c r="C30" s="15">
        <v>9</v>
      </c>
      <c r="D30" s="15" t="s">
        <v>24</v>
      </c>
      <c r="E30" s="15" t="s">
        <v>25</v>
      </c>
      <c r="F30" s="13">
        <v>0.18559999999999999</v>
      </c>
      <c r="G30" s="15" t="str">
        <f>IF(COUNTIFS('Question-Article-Match'!$A:$A,A30,'Question-Article-Match'!$C:$C,C30,'Question-Article-Match'!$F:$F,"direct match")&gt;0,"direct match",IF(COUNTIFS('Question-Article-Match'!$A:$A,A30,'Question-Article-Match'!$C:$C,C30,'Question-Article-Match'!$F:$F,"indirect match")&gt;0,"indirect match","no match"))</f>
        <v>no match</v>
      </c>
      <c r="H30" s="14" t="b">
        <f t="shared" si="0"/>
        <v>1</v>
      </c>
    </row>
    <row r="31" spans="1:8" ht="42" customHeight="1">
      <c r="A31" s="15" t="s">
        <v>150</v>
      </c>
      <c r="B31" s="15" t="s">
        <v>151</v>
      </c>
      <c r="C31" s="15">
        <v>10</v>
      </c>
      <c r="D31" s="15" t="s">
        <v>113</v>
      </c>
      <c r="E31" s="15" t="s">
        <v>114</v>
      </c>
      <c r="F31" s="13">
        <v>0.1855</v>
      </c>
      <c r="G31" s="15" t="str">
        <f>IF(COUNTIFS('Question-Article-Match'!$A:$A,A31,'Question-Article-Match'!$C:$C,C31,'Question-Article-Match'!$F:$F,"direct match")&gt;0,"direct match",IF(COUNTIFS('Question-Article-Match'!$A:$A,A31,'Question-Article-Match'!$C:$C,C31,'Question-Article-Match'!$F:$F,"indirect match")&gt;0,"indirect match","no match"))</f>
        <v>no match</v>
      </c>
      <c r="H31" s="14" t="b">
        <f t="shared" si="0"/>
        <v>1</v>
      </c>
    </row>
    <row r="32" spans="1:8" ht="28" customHeight="1">
      <c r="A32" s="15" t="s">
        <v>147</v>
      </c>
      <c r="B32" s="15" t="s">
        <v>148</v>
      </c>
      <c r="C32" s="15">
        <v>1</v>
      </c>
      <c r="D32" s="15" t="s">
        <v>12</v>
      </c>
      <c r="E32" s="15" t="s">
        <v>13</v>
      </c>
      <c r="F32" s="13">
        <v>0.55940000000000001</v>
      </c>
      <c r="G32" s="15" t="str">
        <f>IF(COUNTIFS('Question-Article-Match'!$A:$A,A32,'Question-Article-Match'!$C:$C,C32,'Question-Article-Match'!$F:$F,"direct match")&gt;0,"direct match",IF(COUNTIFS('Question-Article-Match'!$A:$A,A32,'Question-Article-Match'!$C:$C,C32,'Question-Article-Match'!$F:$F,"indirect match")&gt;0,"indirect match","no match"))</f>
        <v>no match</v>
      </c>
      <c r="H32" s="14" t="b">
        <f t="shared" si="0"/>
        <v>0</v>
      </c>
    </row>
    <row r="33" spans="1:8" ht="42" customHeight="1">
      <c r="A33" s="15" t="s">
        <v>147</v>
      </c>
      <c r="B33" s="15" t="s">
        <v>148</v>
      </c>
      <c r="C33" s="15">
        <v>2</v>
      </c>
      <c r="D33" s="15" t="s">
        <v>14</v>
      </c>
      <c r="E33" s="15" t="s">
        <v>15</v>
      </c>
      <c r="F33" s="13">
        <v>0.52859999999999996</v>
      </c>
      <c r="G33" s="15" t="str">
        <f>IF(COUNTIFS('Question-Article-Match'!$A:$A,A33,'Question-Article-Match'!$C:$C,C33,'Question-Article-Match'!$F:$F,"direct match")&gt;0,"direct match",IF(COUNTIFS('Question-Article-Match'!$A:$A,A33,'Question-Article-Match'!$C:$C,C33,'Question-Article-Match'!$F:$F,"indirect match")&gt;0,"indirect match","no match"))</f>
        <v>no match</v>
      </c>
      <c r="H33" s="14" t="b">
        <f t="shared" si="0"/>
        <v>0</v>
      </c>
    </row>
    <row r="34" spans="1:8" ht="28" customHeight="1">
      <c r="A34" s="15" t="s">
        <v>147</v>
      </c>
      <c r="B34" s="15" t="s">
        <v>148</v>
      </c>
      <c r="C34" s="15">
        <v>3</v>
      </c>
      <c r="D34" s="15" t="s">
        <v>24</v>
      </c>
      <c r="E34" s="15" t="s">
        <v>25</v>
      </c>
      <c r="F34" s="13">
        <v>0.38080000000000003</v>
      </c>
      <c r="G34" s="15" t="str">
        <f>IF(COUNTIFS('Question-Article-Match'!$A:$A,A34,'Question-Article-Match'!$C:$C,C34,'Question-Article-Match'!$F:$F,"direct match")&gt;0,"direct match",IF(COUNTIFS('Question-Article-Match'!$A:$A,A34,'Question-Article-Match'!$C:$C,C34,'Question-Article-Match'!$F:$F,"indirect match")&gt;0,"indirect match","no match"))</f>
        <v>no match</v>
      </c>
      <c r="H34" s="14" t="b">
        <f t="shared" si="0"/>
        <v>1</v>
      </c>
    </row>
    <row r="35" spans="1:8" ht="28" customHeight="1">
      <c r="A35" s="15" t="s">
        <v>147</v>
      </c>
      <c r="B35" s="15" t="s">
        <v>148</v>
      </c>
      <c r="C35" s="15">
        <v>4</v>
      </c>
      <c r="D35" s="15" t="s">
        <v>16</v>
      </c>
      <c r="E35" s="15" t="s">
        <v>17</v>
      </c>
      <c r="F35" s="13">
        <v>0.35620000000000002</v>
      </c>
      <c r="G35" s="15" t="str">
        <f>IF(COUNTIFS('Question-Article-Match'!$A:$A,A35,'Question-Article-Match'!$C:$C,C35,'Question-Article-Match'!$F:$F,"direct match")&gt;0,"direct match",IF(COUNTIFS('Question-Article-Match'!$A:$A,A35,'Question-Article-Match'!$C:$C,C35,'Question-Article-Match'!$F:$F,"indirect match")&gt;0,"indirect match","no match"))</f>
        <v>no match</v>
      </c>
      <c r="H35" s="14" t="b">
        <f t="shared" si="0"/>
        <v>1</v>
      </c>
    </row>
    <row r="36" spans="1:8" ht="28" customHeight="1">
      <c r="A36" s="15" t="s">
        <v>147</v>
      </c>
      <c r="B36" s="15" t="s">
        <v>148</v>
      </c>
      <c r="C36" s="15">
        <v>5</v>
      </c>
      <c r="D36" s="15" t="s">
        <v>18</v>
      </c>
      <c r="E36" s="15" t="s">
        <v>19</v>
      </c>
      <c r="F36" s="13">
        <v>0.35220000000000001</v>
      </c>
      <c r="G36" s="15" t="str">
        <f>IF(COUNTIFS('Question-Article-Match'!$A:$A,A36,'Question-Article-Match'!$C:$C,C36,'Question-Article-Match'!$F:$F,"direct match")&gt;0,"direct match",IF(COUNTIFS('Question-Article-Match'!$A:$A,A36,'Question-Article-Match'!$C:$C,C36,'Question-Article-Match'!$F:$F,"indirect match")&gt;0,"indirect match","no match"))</f>
        <v>no match</v>
      </c>
      <c r="H36" s="14" t="b">
        <f t="shared" si="0"/>
        <v>1</v>
      </c>
    </row>
    <row r="37" spans="1:8" ht="28" customHeight="1">
      <c r="A37" s="15" t="s">
        <v>147</v>
      </c>
      <c r="B37" s="15" t="s">
        <v>148</v>
      </c>
      <c r="C37" s="15">
        <v>6</v>
      </c>
      <c r="D37" s="15" t="s">
        <v>75</v>
      </c>
      <c r="E37" s="15" t="s">
        <v>76</v>
      </c>
      <c r="F37" s="13">
        <v>0.35189999999999999</v>
      </c>
      <c r="G37" s="15" t="str">
        <f>IF(COUNTIFS('Question-Article-Match'!$A:$A,A37,'Question-Article-Match'!$C:$C,C37,'Question-Article-Match'!$F:$F,"direct match")&gt;0,"direct match",IF(COUNTIFS('Question-Article-Match'!$A:$A,A37,'Question-Article-Match'!$C:$C,C37,'Question-Article-Match'!$F:$F,"indirect match")&gt;0,"indirect match","no match"))</f>
        <v>no match</v>
      </c>
      <c r="H37" s="14" t="b">
        <f t="shared" si="0"/>
        <v>1</v>
      </c>
    </row>
    <row r="38" spans="1:8" ht="28" customHeight="1">
      <c r="A38" s="15" t="s">
        <v>147</v>
      </c>
      <c r="B38" s="15" t="s">
        <v>148</v>
      </c>
      <c r="C38" s="15">
        <v>7</v>
      </c>
      <c r="D38" s="15" t="s">
        <v>20</v>
      </c>
      <c r="E38" s="15" t="s">
        <v>21</v>
      </c>
      <c r="F38" s="13">
        <v>0.34279999999999999</v>
      </c>
      <c r="G38" s="15" t="str">
        <f>IF(COUNTIFS('Question-Article-Match'!$A:$A,A38,'Question-Article-Match'!$C:$C,C38,'Question-Article-Match'!$F:$F,"direct match")&gt;0,"direct match",IF(COUNTIFS('Question-Article-Match'!$A:$A,A38,'Question-Article-Match'!$C:$C,C38,'Question-Article-Match'!$F:$F,"indirect match")&gt;0,"indirect match","no match"))</f>
        <v>no match</v>
      </c>
      <c r="H38" s="14" t="b">
        <f t="shared" si="0"/>
        <v>1</v>
      </c>
    </row>
    <row r="39" spans="1:8" ht="28" customHeight="1">
      <c r="A39" s="15" t="s">
        <v>147</v>
      </c>
      <c r="B39" s="15" t="s">
        <v>148</v>
      </c>
      <c r="C39" s="15">
        <v>8</v>
      </c>
      <c r="D39" s="15" t="s">
        <v>26</v>
      </c>
      <c r="E39" s="15" t="s">
        <v>27</v>
      </c>
      <c r="F39" s="13">
        <v>0.27929999999999999</v>
      </c>
      <c r="G39" s="15" t="str">
        <f>IF(COUNTIFS('Question-Article-Match'!$A:$A,A39,'Question-Article-Match'!$C:$C,C39,'Question-Article-Match'!$F:$F,"direct match")&gt;0,"direct match",IF(COUNTIFS('Question-Article-Match'!$A:$A,A39,'Question-Article-Match'!$C:$C,C39,'Question-Article-Match'!$F:$F,"indirect match")&gt;0,"indirect match","no match"))</f>
        <v>no match</v>
      </c>
      <c r="H39" s="14" t="b">
        <f t="shared" si="0"/>
        <v>1</v>
      </c>
    </row>
    <row r="40" spans="1:8" ht="28" customHeight="1">
      <c r="A40" s="15" t="s">
        <v>147</v>
      </c>
      <c r="B40" s="15" t="s">
        <v>148</v>
      </c>
      <c r="C40" s="15">
        <v>9</v>
      </c>
      <c r="D40" s="15" t="s">
        <v>36</v>
      </c>
      <c r="E40" s="15" t="s">
        <v>37</v>
      </c>
      <c r="F40" s="13">
        <v>0.25430000000000003</v>
      </c>
      <c r="G40" s="15" t="str">
        <f>IF(COUNTIFS('Question-Article-Match'!$A:$A,A40,'Question-Article-Match'!$C:$C,C40,'Question-Article-Match'!$F:$F,"direct match")&gt;0,"direct match",IF(COUNTIFS('Question-Article-Match'!$A:$A,A40,'Question-Article-Match'!$C:$C,C40,'Question-Article-Match'!$F:$F,"indirect match")&gt;0,"indirect match","no match"))</f>
        <v>no match</v>
      </c>
      <c r="H40" s="14" t="b">
        <f t="shared" si="0"/>
        <v>1</v>
      </c>
    </row>
    <row r="41" spans="1:8" ht="28" customHeight="1">
      <c r="A41" s="15" t="s">
        <v>147</v>
      </c>
      <c r="B41" s="15" t="s">
        <v>148</v>
      </c>
      <c r="C41" s="15">
        <v>10</v>
      </c>
      <c r="D41" s="15" t="s">
        <v>22</v>
      </c>
      <c r="E41" s="15" t="s">
        <v>23</v>
      </c>
      <c r="F41" s="13">
        <v>0.2419</v>
      </c>
      <c r="G41" s="15" t="str">
        <f>IF(COUNTIFS('Question-Article-Match'!$A:$A,A41,'Question-Article-Match'!$C:$C,C41,'Question-Article-Match'!$F:$F,"direct match")&gt;0,"direct match",IF(COUNTIFS('Question-Article-Match'!$A:$A,A41,'Question-Article-Match'!$C:$C,C41,'Question-Article-Match'!$F:$F,"indirect match")&gt;0,"indirect match","no match"))</f>
        <v>no match</v>
      </c>
      <c r="H41" s="14" t="b">
        <f t="shared" si="0"/>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337"/>
  <sheetViews>
    <sheetView workbookViewId="0">
      <pane ySplit="1" topLeftCell="A224" activePane="bottomLeft" state="frozen"/>
      <selection pane="bottomLeft" activeCell="A254" sqref="A254:G337"/>
    </sheetView>
  </sheetViews>
  <sheetFormatPr defaultRowHeight="14"/>
  <cols>
    <col min="1" max="1" width="11" customWidth="1"/>
    <col min="2" max="2" width="50" customWidth="1"/>
    <col min="3" max="3" width="8" customWidth="1"/>
    <col min="4" max="4" width="38" customWidth="1"/>
    <col min="5" max="5" width="60" customWidth="1"/>
    <col min="6" max="6" width="16" customWidth="1"/>
    <col min="7" max="7" width="15" customWidth="1"/>
    <col min="8" max="8" width="13" customWidth="1"/>
    <col min="9" max="9" width="20" customWidth="1"/>
    <col min="10" max="10" width="9" customWidth="1"/>
    <col min="11" max="11" width="2" customWidth="1"/>
    <col min="12" max="12" width="20" customWidth="1"/>
    <col min="13" max="15" width="6" customWidth="1"/>
    <col min="16" max="17" width="10" customWidth="1"/>
    <col min="18" max="18" width="8" customWidth="1"/>
    <col min="19" max="19" width="13" customWidth="1"/>
    <col min="20" max="20" width="14" customWidth="1"/>
  </cols>
  <sheetData>
    <row r="1" spans="1:20">
      <c r="A1" s="16" t="s">
        <v>0</v>
      </c>
      <c r="B1" s="16" t="s">
        <v>1</v>
      </c>
      <c r="C1" s="16" t="s">
        <v>48</v>
      </c>
      <c r="D1" s="16" t="s">
        <v>3</v>
      </c>
      <c r="E1" s="16" t="s">
        <v>4</v>
      </c>
      <c r="F1" s="16" t="s">
        <v>5</v>
      </c>
      <c r="G1" s="16" t="s">
        <v>6</v>
      </c>
      <c r="H1" s="16" t="s">
        <v>177</v>
      </c>
      <c r="I1" s="16" t="s">
        <v>178</v>
      </c>
      <c r="J1" s="16" t="s">
        <v>179</v>
      </c>
    </row>
    <row r="2" spans="1:20">
      <c r="A2" s="17" t="s">
        <v>117</v>
      </c>
      <c r="B2" s="17" t="s">
        <v>118</v>
      </c>
      <c r="C2" s="17">
        <v>1</v>
      </c>
      <c r="D2" s="17" t="s">
        <v>22</v>
      </c>
      <c r="E2" s="17" t="s">
        <v>23</v>
      </c>
      <c r="F2" s="18">
        <v>0.30270000000000002</v>
      </c>
      <c r="G2" s="17" t="str">
        <f>IF(COUNTIFS('Question-Article-Match'!$A:$A,A2,'Question-Article-Match'!$C:$C,C2,'Question-Article-Match'!$F:$F,"direct match")&gt;0,"direct match",IF(COUNTIFS('Question-Article-Match'!$A:$A,A2,'Question-Article-Match'!$C:$C,C2,'Question-Article-Match'!$F:$F,"indirect match")&gt;0,"indirect match","no match"))</f>
        <v>no match</v>
      </c>
      <c r="H2" s="17">
        <f t="shared" ref="H2:H65" si="0">IF(G2="no match",0,1)</f>
        <v>0</v>
      </c>
      <c r="I2" s="17">
        <f t="shared" ref="I2:I65" si="1">IF(F2&gt;=$N$2,1,0)</f>
        <v>0</v>
      </c>
      <c r="J2" s="17" t="str">
        <f t="shared" ref="J2:J65" si="2">IF(AND(H2=1,I2=1),"TP",IF(AND(H2=0,I2=1),"FP",IF(H2=1,"FN","TN")))</f>
        <v>TN</v>
      </c>
      <c r="L2" s="19" t="s">
        <v>180</v>
      </c>
      <c r="N2" s="20">
        <v>0.35</v>
      </c>
    </row>
    <row r="3" spans="1:20">
      <c r="A3" s="17" t="s">
        <v>117</v>
      </c>
      <c r="B3" s="17" t="s">
        <v>118</v>
      </c>
      <c r="C3" s="17">
        <v>2</v>
      </c>
      <c r="D3" s="17" t="s">
        <v>18</v>
      </c>
      <c r="E3" s="17" t="s">
        <v>19</v>
      </c>
      <c r="F3" s="18">
        <v>0.28249999999999997</v>
      </c>
      <c r="G3" s="17" t="str">
        <f>IF(COUNTIFS('Question-Article-Match'!$A:$A,A3,'Question-Article-Match'!$C:$C,C3,'Question-Article-Match'!$F:$F,"direct match")&gt;0,"direct match",IF(COUNTIFS('Question-Article-Match'!$A:$A,A3,'Question-Article-Match'!$C:$C,C3,'Question-Article-Match'!$F:$F,"indirect match")&gt;0,"indirect match","no match"))</f>
        <v>no match</v>
      </c>
      <c r="H3" s="17">
        <f t="shared" si="0"/>
        <v>0</v>
      </c>
      <c r="I3" s="17">
        <f t="shared" si="1"/>
        <v>0</v>
      </c>
      <c r="J3" s="17" t="str">
        <f t="shared" si="2"/>
        <v>TN</v>
      </c>
    </row>
    <row r="4" spans="1:20">
      <c r="A4" s="17" t="s">
        <v>117</v>
      </c>
      <c r="B4" s="17" t="s">
        <v>118</v>
      </c>
      <c r="C4" s="17">
        <v>3</v>
      </c>
      <c r="D4" s="17" t="s">
        <v>26</v>
      </c>
      <c r="E4" s="17" t="s">
        <v>27</v>
      </c>
      <c r="F4" s="18">
        <v>0.61109999999999998</v>
      </c>
      <c r="G4" s="17" t="str">
        <f>IF(COUNTIFS('Question-Article-Match'!$A:$A,A4,'Question-Article-Match'!$C:$C,C4,'Question-Article-Match'!$F:$F,"direct match")&gt;0,"direct match",IF(COUNTIFS('Question-Article-Match'!$A:$A,A4,'Question-Article-Match'!$C:$C,C4,'Question-Article-Match'!$F:$F,"indirect match")&gt;0,"indirect match","no match"))</f>
        <v>direct match</v>
      </c>
      <c r="H4" s="17">
        <f t="shared" si="0"/>
        <v>1</v>
      </c>
      <c r="I4" s="17">
        <f t="shared" si="1"/>
        <v>1</v>
      </c>
      <c r="J4" s="17" t="str">
        <f t="shared" si="2"/>
        <v>TP</v>
      </c>
      <c r="L4" s="16" t="s">
        <v>181</v>
      </c>
      <c r="M4" s="16" t="s">
        <v>182</v>
      </c>
      <c r="N4" s="16" t="s">
        <v>183</v>
      </c>
      <c r="O4" s="16" t="s">
        <v>184</v>
      </c>
      <c r="P4" s="16" t="s">
        <v>185</v>
      </c>
      <c r="Q4" s="16" t="s">
        <v>186</v>
      </c>
      <c r="R4" s="16" t="s">
        <v>187</v>
      </c>
      <c r="S4" s="16" t="s">
        <v>188</v>
      </c>
      <c r="T4" s="16" t="s">
        <v>189</v>
      </c>
    </row>
    <row r="5" spans="1:20">
      <c r="A5" s="17" t="s">
        <v>117</v>
      </c>
      <c r="B5" s="17" t="s">
        <v>118</v>
      </c>
      <c r="C5" s="17">
        <v>4</v>
      </c>
      <c r="D5" s="17" t="s">
        <v>64</v>
      </c>
      <c r="E5" s="17" t="s">
        <v>65</v>
      </c>
      <c r="F5" s="18">
        <v>6.5000000000000002E-2</v>
      </c>
      <c r="G5" s="17" t="str">
        <f>IF(COUNTIFS('Question-Article-Match'!$A:$A,A5,'Question-Article-Match'!$C:$C,C5,'Question-Article-Match'!$F:$F,"direct match")&gt;0,"direct match",IF(COUNTIFS('Question-Article-Match'!$A:$A,A5,'Question-Article-Match'!$C:$C,C5,'Question-Article-Match'!$F:$F,"indirect match")&gt;0,"indirect match","no match"))</f>
        <v>no match</v>
      </c>
      <c r="H5" s="17">
        <f t="shared" si="0"/>
        <v>0</v>
      </c>
      <c r="I5" s="17">
        <f t="shared" si="1"/>
        <v>0</v>
      </c>
      <c r="J5" s="17" t="str">
        <f t="shared" si="2"/>
        <v>TN</v>
      </c>
      <c r="L5" s="21">
        <v>0.2</v>
      </c>
      <c r="M5" s="22">
        <f t="shared" ref="M5:M13" si="3">COUNTIFS($H$2:$H$337,1,$F$2:$F$337,"&gt;="&amp;L5)</f>
        <v>38</v>
      </c>
      <c r="N5" s="22">
        <f t="shared" ref="N5:N13" si="4">COUNTIFS($H$2:$H$337,0,$F$2:$F$337,"&gt;="&amp;L5)</f>
        <v>163</v>
      </c>
      <c r="O5" s="22">
        <f t="shared" ref="O5:O13" si="5">COUNTIFS($H$2:$H$337,1,$F$2:$F$337,"&lt;"&amp;L5)</f>
        <v>0</v>
      </c>
      <c r="P5" s="23">
        <f t="shared" ref="P5:P13" si="6">IF(M5+N5=0,0,M5/(M5+N5))</f>
        <v>0.1890547263681592</v>
      </c>
      <c r="Q5" s="23">
        <f t="shared" ref="Q5:Q13" si="7">IF(M5+O5=0,0,M5/(M5+O5))</f>
        <v>1</v>
      </c>
      <c r="R5" s="23">
        <f t="shared" ref="R5:R13" si="8">IF(P5+Q5=0,0,2*P5*Q5/(P5+Q5))</f>
        <v>0.31799163179916318</v>
      </c>
      <c r="S5" s="23">
        <f t="shared" ref="S5:S13" si="9">COUNTIFS($G$2:$G$337,"direct match",$F$2:$F$337,"&gt;="&amp;L5)/MAX(1,COUNTIF($G$2:$G$337,"direct match"))</f>
        <v>1</v>
      </c>
      <c r="T5" s="23">
        <f t="shared" ref="T5:T13" si="10">COUNTIFS($G$2:$G$337,"indirect match",$F$2:$F$337,"&gt;="&amp;L5)/MAX(1,COUNTIF($G$2:$G$337,"indirect match"))</f>
        <v>1</v>
      </c>
    </row>
    <row r="6" spans="1:20">
      <c r="A6" s="17" t="s">
        <v>117</v>
      </c>
      <c r="B6" s="17" t="s">
        <v>118</v>
      </c>
      <c r="C6" s="17">
        <v>5</v>
      </c>
      <c r="D6" s="17" t="s">
        <v>36</v>
      </c>
      <c r="E6" s="17" t="s">
        <v>37</v>
      </c>
      <c r="F6" s="18">
        <v>0.11119999999999999</v>
      </c>
      <c r="G6" s="17" t="str">
        <f>IF(COUNTIFS('Question-Article-Match'!$A:$A,A6,'Question-Article-Match'!$C:$C,C6,'Question-Article-Match'!$F:$F,"direct match")&gt;0,"direct match",IF(COUNTIFS('Question-Article-Match'!$A:$A,A6,'Question-Article-Match'!$C:$C,C6,'Question-Article-Match'!$F:$F,"indirect match")&gt;0,"indirect match","no match"))</f>
        <v>no match</v>
      </c>
      <c r="H6" s="17">
        <f t="shared" si="0"/>
        <v>0</v>
      </c>
      <c r="I6" s="17">
        <f t="shared" si="1"/>
        <v>0</v>
      </c>
      <c r="J6" s="17" t="str">
        <f t="shared" si="2"/>
        <v>TN</v>
      </c>
      <c r="L6" s="21">
        <v>0.25</v>
      </c>
      <c r="M6" s="22">
        <f t="shared" si="3"/>
        <v>37</v>
      </c>
      <c r="N6" s="22">
        <f t="shared" si="4"/>
        <v>110</v>
      </c>
      <c r="O6" s="22">
        <f t="shared" si="5"/>
        <v>1</v>
      </c>
      <c r="P6" s="23">
        <f t="shared" si="6"/>
        <v>0.25170068027210885</v>
      </c>
      <c r="Q6" s="23">
        <f t="shared" si="7"/>
        <v>0.97368421052631582</v>
      </c>
      <c r="R6" s="23">
        <f t="shared" si="8"/>
        <v>0.4</v>
      </c>
      <c r="S6" s="23">
        <f t="shared" si="9"/>
        <v>1</v>
      </c>
      <c r="T6" s="23">
        <f t="shared" si="10"/>
        <v>0.96153846153846156</v>
      </c>
    </row>
    <row r="7" spans="1:20">
      <c r="A7" s="17" t="s">
        <v>117</v>
      </c>
      <c r="B7" s="17" t="s">
        <v>118</v>
      </c>
      <c r="C7" s="17">
        <v>6</v>
      </c>
      <c r="D7" s="17" t="s">
        <v>28</v>
      </c>
      <c r="E7" s="17" t="s">
        <v>29</v>
      </c>
      <c r="F7" s="18">
        <v>7.6799999999999993E-2</v>
      </c>
      <c r="G7" s="17" t="str">
        <f>IF(COUNTIFS('Question-Article-Match'!$A:$A,A7,'Question-Article-Match'!$C:$C,C7,'Question-Article-Match'!$F:$F,"direct match")&gt;0,"direct match",IF(COUNTIFS('Question-Article-Match'!$A:$A,A7,'Question-Article-Match'!$C:$C,C7,'Question-Article-Match'!$F:$F,"indirect match")&gt;0,"indirect match","no match"))</f>
        <v>no match</v>
      </c>
      <c r="H7" s="17">
        <f t="shared" si="0"/>
        <v>0</v>
      </c>
      <c r="I7" s="17">
        <f t="shared" si="1"/>
        <v>0</v>
      </c>
      <c r="J7" s="17" t="str">
        <f t="shared" si="2"/>
        <v>TN</v>
      </c>
      <c r="L7" s="21">
        <v>0.3</v>
      </c>
      <c r="M7" s="22">
        <f t="shared" si="3"/>
        <v>37</v>
      </c>
      <c r="N7" s="22">
        <f t="shared" si="4"/>
        <v>78</v>
      </c>
      <c r="O7" s="22">
        <f t="shared" si="5"/>
        <v>1</v>
      </c>
      <c r="P7" s="23">
        <f t="shared" si="6"/>
        <v>0.32173913043478258</v>
      </c>
      <c r="Q7" s="23">
        <f t="shared" si="7"/>
        <v>0.97368421052631582</v>
      </c>
      <c r="R7" s="23">
        <f t="shared" si="8"/>
        <v>0.4836601307189542</v>
      </c>
      <c r="S7" s="23">
        <f t="shared" si="9"/>
        <v>1</v>
      </c>
      <c r="T7" s="23">
        <f t="shared" si="10"/>
        <v>0.96153846153846156</v>
      </c>
    </row>
    <row r="8" spans="1:20">
      <c r="A8" s="17" t="s">
        <v>117</v>
      </c>
      <c r="B8" s="17" t="s">
        <v>118</v>
      </c>
      <c r="C8" s="17">
        <v>7</v>
      </c>
      <c r="D8" s="17" t="s">
        <v>75</v>
      </c>
      <c r="E8" s="17" t="s">
        <v>76</v>
      </c>
      <c r="F8" s="18">
        <v>3.4500000000000003E-2</v>
      </c>
      <c r="G8" s="17" t="str">
        <f>IF(COUNTIFS('Question-Article-Match'!$A:$A,A8,'Question-Article-Match'!$C:$C,C8,'Question-Article-Match'!$F:$F,"direct match")&gt;0,"direct match",IF(COUNTIFS('Question-Article-Match'!$A:$A,A8,'Question-Article-Match'!$C:$C,C8,'Question-Article-Match'!$F:$F,"indirect match")&gt;0,"indirect match","no match"))</f>
        <v>no match</v>
      </c>
      <c r="H8" s="17">
        <f t="shared" si="0"/>
        <v>0</v>
      </c>
      <c r="I8" s="17">
        <f t="shared" si="1"/>
        <v>0</v>
      </c>
      <c r="J8" s="17" t="str">
        <f t="shared" si="2"/>
        <v>TN</v>
      </c>
      <c r="L8" s="21">
        <v>0.35</v>
      </c>
      <c r="M8" s="22">
        <f t="shared" si="3"/>
        <v>33</v>
      </c>
      <c r="N8" s="22">
        <f t="shared" si="4"/>
        <v>49</v>
      </c>
      <c r="O8" s="22">
        <f t="shared" si="5"/>
        <v>5</v>
      </c>
      <c r="P8" s="23">
        <f t="shared" si="6"/>
        <v>0.40243902439024393</v>
      </c>
      <c r="Q8" s="23">
        <f t="shared" si="7"/>
        <v>0.86842105263157898</v>
      </c>
      <c r="R8" s="23">
        <f t="shared" si="8"/>
        <v>0.54999999999999993</v>
      </c>
      <c r="S8" s="23">
        <f t="shared" si="9"/>
        <v>1</v>
      </c>
      <c r="T8" s="23">
        <f t="shared" si="10"/>
        <v>0.80769230769230771</v>
      </c>
    </row>
    <row r="9" spans="1:20">
      <c r="A9" s="17" t="s">
        <v>117</v>
      </c>
      <c r="B9" s="17" t="s">
        <v>118</v>
      </c>
      <c r="C9" s="17">
        <v>8</v>
      </c>
      <c r="D9" s="17" t="s">
        <v>40</v>
      </c>
      <c r="E9" s="17" t="s">
        <v>41</v>
      </c>
      <c r="F9" s="18">
        <v>0.1111</v>
      </c>
      <c r="G9" s="17" t="str">
        <f>IF(COUNTIFS('Question-Article-Match'!$A:$A,A9,'Question-Article-Match'!$C:$C,C9,'Question-Article-Match'!$F:$F,"direct match")&gt;0,"direct match",IF(COUNTIFS('Question-Article-Match'!$A:$A,A9,'Question-Article-Match'!$C:$C,C9,'Question-Article-Match'!$F:$F,"indirect match")&gt;0,"indirect match","no match"))</f>
        <v>no match</v>
      </c>
      <c r="H9" s="17">
        <f t="shared" si="0"/>
        <v>0</v>
      </c>
      <c r="I9" s="17">
        <f t="shared" si="1"/>
        <v>0</v>
      </c>
      <c r="J9" s="17" t="str">
        <f t="shared" si="2"/>
        <v>TN</v>
      </c>
      <c r="L9" s="21">
        <v>0.4</v>
      </c>
      <c r="M9" s="22">
        <f t="shared" si="3"/>
        <v>30</v>
      </c>
      <c r="N9" s="22">
        <f t="shared" si="4"/>
        <v>23</v>
      </c>
      <c r="O9" s="22">
        <f t="shared" si="5"/>
        <v>8</v>
      </c>
      <c r="P9" s="23">
        <f t="shared" si="6"/>
        <v>0.56603773584905659</v>
      </c>
      <c r="Q9" s="23">
        <f t="shared" si="7"/>
        <v>0.78947368421052633</v>
      </c>
      <c r="R9" s="23">
        <f t="shared" si="8"/>
        <v>0.65934065934065933</v>
      </c>
      <c r="S9" s="23">
        <f t="shared" si="9"/>
        <v>1</v>
      </c>
      <c r="T9" s="23">
        <f t="shared" si="10"/>
        <v>0.69230769230769229</v>
      </c>
    </row>
    <row r="10" spans="1:20">
      <c r="A10" s="17" t="s">
        <v>117</v>
      </c>
      <c r="B10" s="17" t="s">
        <v>118</v>
      </c>
      <c r="C10" s="17">
        <v>9</v>
      </c>
      <c r="D10" s="17" t="s">
        <v>10</v>
      </c>
      <c r="E10" s="17" t="s">
        <v>11</v>
      </c>
      <c r="F10" s="18">
        <v>-1.7899999999999999E-2</v>
      </c>
      <c r="G10" s="17" t="str">
        <f>IF(COUNTIFS('Question-Article-Match'!$A:$A,A10,'Question-Article-Match'!$C:$C,C10,'Question-Article-Match'!$F:$F,"direct match")&gt;0,"direct match",IF(COUNTIFS('Question-Article-Match'!$A:$A,A10,'Question-Article-Match'!$C:$C,C10,'Question-Article-Match'!$F:$F,"indirect match")&gt;0,"indirect match","no match"))</f>
        <v>no match</v>
      </c>
      <c r="H10" s="17">
        <f t="shared" si="0"/>
        <v>0</v>
      </c>
      <c r="I10" s="17">
        <f t="shared" si="1"/>
        <v>0</v>
      </c>
      <c r="J10" s="17" t="str">
        <f t="shared" si="2"/>
        <v>TN</v>
      </c>
      <c r="L10" s="21">
        <v>0.45</v>
      </c>
      <c r="M10" s="22">
        <f t="shared" si="3"/>
        <v>24</v>
      </c>
      <c r="N10" s="22">
        <f t="shared" si="4"/>
        <v>12</v>
      </c>
      <c r="O10" s="22">
        <f t="shared" si="5"/>
        <v>14</v>
      </c>
      <c r="P10" s="23">
        <f t="shared" si="6"/>
        <v>0.66666666666666663</v>
      </c>
      <c r="Q10" s="23">
        <f t="shared" si="7"/>
        <v>0.63157894736842102</v>
      </c>
      <c r="R10" s="23">
        <f t="shared" si="8"/>
        <v>0.64864864864864857</v>
      </c>
      <c r="S10" s="23">
        <f t="shared" si="9"/>
        <v>1</v>
      </c>
      <c r="T10" s="23">
        <f t="shared" si="10"/>
        <v>0.46153846153846156</v>
      </c>
    </row>
    <row r="11" spans="1:20">
      <c r="A11" s="17" t="s">
        <v>117</v>
      </c>
      <c r="B11" s="17" t="s">
        <v>118</v>
      </c>
      <c r="C11" s="17">
        <v>10</v>
      </c>
      <c r="D11" s="17" t="s">
        <v>32</v>
      </c>
      <c r="E11" s="17" t="s">
        <v>33</v>
      </c>
      <c r="F11" s="18">
        <v>2.7699999999999999E-2</v>
      </c>
      <c r="G11" s="17" t="str">
        <f>IF(COUNTIFS('Question-Article-Match'!$A:$A,A11,'Question-Article-Match'!$C:$C,C11,'Question-Article-Match'!$F:$F,"direct match")&gt;0,"direct match",IF(COUNTIFS('Question-Article-Match'!$A:$A,A11,'Question-Article-Match'!$C:$C,C11,'Question-Article-Match'!$F:$F,"indirect match")&gt;0,"indirect match","no match"))</f>
        <v>no match</v>
      </c>
      <c r="H11" s="17">
        <f t="shared" si="0"/>
        <v>0</v>
      </c>
      <c r="I11" s="17">
        <f t="shared" si="1"/>
        <v>0</v>
      </c>
      <c r="J11" s="17" t="str">
        <f t="shared" si="2"/>
        <v>TN</v>
      </c>
      <c r="L11" s="21">
        <v>0.5</v>
      </c>
      <c r="M11" s="22">
        <f t="shared" si="3"/>
        <v>20</v>
      </c>
      <c r="N11" s="22">
        <f t="shared" si="4"/>
        <v>8</v>
      </c>
      <c r="O11" s="22">
        <f t="shared" si="5"/>
        <v>18</v>
      </c>
      <c r="P11" s="23">
        <f t="shared" si="6"/>
        <v>0.7142857142857143</v>
      </c>
      <c r="Q11" s="23">
        <f t="shared" si="7"/>
        <v>0.52631578947368418</v>
      </c>
      <c r="R11" s="23">
        <f t="shared" si="8"/>
        <v>0.60606060606060608</v>
      </c>
      <c r="S11" s="23">
        <f t="shared" si="9"/>
        <v>1</v>
      </c>
      <c r="T11" s="23">
        <f t="shared" si="10"/>
        <v>0.30769230769230771</v>
      </c>
    </row>
    <row r="12" spans="1:20">
      <c r="A12" s="17" t="s">
        <v>117</v>
      </c>
      <c r="B12" s="17" t="s">
        <v>118</v>
      </c>
      <c r="C12" s="17">
        <v>11</v>
      </c>
      <c r="D12" s="17" t="s">
        <v>89</v>
      </c>
      <c r="E12" s="17" t="s">
        <v>90</v>
      </c>
      <c r="F12" s="18">
        <v>0.1159</v>
      </c>
      <c r="G12" s="17" t="str">
        <f>IF(COUNTIFS('Question-Article-Match'!$A:$A,A12,'Question-Article-Match'!$C:$C,C12,'Question-Article-Match'!$F:$F,"direct match")&gt;0,"direct match",IF(COUNTIFS('Question-Article-Match'!$A:$A,A12,'Question-Article-Match'!$C:$C,C12,'Question-Article-Match'!$F:$F,"indirect match")&gt;0,"indirect match","no match"))</f>
        <v>no match</v>
      </c>
      <c r="H12" s="17">
        <f t="shared" si="0"/>
        <v>0</v>
      </c>
      <c r="I12" s="17">
        <f t="shared" si="1"/>
        <v>0</v>
      </c>
      <c r="J12" s="17" t="str">
        <f t="shared" si="2"/>
        <v>TN</v>
      </c>
      <c r="L12" s="21">
        <v>0.55000000000000004</v>
      </c>
      <c r="M12" s="22">
        <f t="shared" si="3"/>
        <v>14</v>
      </c>
      <c r="N12" s="22">
        <f t="shared" si="4"/>
        <v>5</v>
      </c>
      <c r="O12" s="22">
        <f t="shared" si="5"/>
        <v>24</v>
      </c>
      <c r="P12" s="23">
        <f t="shared" si="6"/>
        <v>0.73684210526315785</v>
      </c>
      <c r="Q12" s="23">
        <f t="shared" si="7"/>
        <v>0.36842105263157893</v>
      </c>
      <c r="R12" s="23">
        <f t="shared" si="8"/>
        <v>0.49122807017543857</v>
      </c>
      <c r="S12" s="23">
        <f t="shared" si="9"/>
        <v>0.83333333333333337</v>
      </c>
      <c r="T12" s="23">
        <f t="shared" si="10"/>
        <v>0.15384615384615385</v>
      </c>
    </row>
    <row r="13" spans="1:20">
      <c r="A13" s="17" t="s">
        <v>117</v>
      </c>
      <c r="B13" s="17" t="s">
        <v>118</v>
      </c>
      <c r="C13" s="17">
        <v>12</v>
      </c>
      <c r="D13" s="17" t="s">
        <v>20</v>
      </c>
      <c r="E13" s="17" t="s">
        <v>21</v>
      </c>
      <c r="F13" s="18">
        <v>0.1225</v>
      </c>
      <c r="G13" s="17" t="str">
        <f>IF(COUNTIFS('Question-Article-Match'!$A:$A,A13,'Question-Article-Match'!$C:$C,C13,'Question-Article-Match'!$F:$F,"direct match")&gt;0,"direct match",IF(COUNTIFS('Question-Article-Match'!$A:$A,A13,'Question-Article-Match'!$C:$C,C13,'Question-Article-Match'!$F:$F,"indirect match")&gt;0,"indirect match","no match"))</f>
        <v>no match</v>
      </c>
      <c r="H13" s="17">
        <f t="shared" si="0"/>
        <v>0</v>
      </c>
      <c r="I13" s="17">
        <f t="shared" si="1"/>
        <v>0</v>
      </c>
      <c r="J13" s="17" t="str">
        <f t="shared" si="2"/>
        <v>TN</v>
      </c>
      <c r="L13" s="21">
        <v>0.6</v>
      </c>
      <c r="M13" s="22">
        <f t="shared" si="3"/>
        <v>8</v>
      </c>
      <c r="N13" s="22">
        <f t="shared" si="4"/>
        <v>0</v>
      </c>
      <c r="O13" s="22">
        <f t="shared" si="5"/>
        <v>30</v>
      </c>
      <c r="P13" s="23">
        <f t="shared" si="6"/>
        <v>1</v>
      </c>
      <c r="Q13" s="23">
        <f t="shared" si="7"/>
        <v>0.21052631578947367</v>
      </c>
      <c r="R13" s="23">
        <f t="shared" si="8"/>
        <v>0.34782608695652173</v>
      </c>
      <c r="S13" s="23">
        <f t="shared" si="9"/>
        <v>0.66666666666666663</v>
      </c>
      <c r="T13" s="23">
        <f t="shared" si="10"/>
        <v>0</v>
      </c>
    </row>
    <row r="14" spans="1:20">
      <c r="A14" s="17" t="s">
        <v>117</v>
      </c>
      <c r="B14" s="17" t="s">
        <v>118</v>
      </c>
      <c r="C14" s="17">
        <v>13</v>
      </c>
      <c r="D14" s="17" t="s">
        <v>34</v>
      </c>
      <c r="E14" s="17" t="s">
        <v>35</v>
      </c>
      <c r="F14" s="18">
        <v>0.23949999999999999</v>
      </c>
      <c r="G14" s="17" t="str">
        <f>IF(COUNTIFS('Question-Article-Match'!$A:$A,A14,'Question-Article-Match'!$C:$C,C14,'Question-Article-Match'!$F:$F,"direct match")&gt;0,"direct match",IF(COUNTIFS('Question-Article-Match'!$A:$A,A14,'Question-Article-Match'!$C:$C,C14,'Question-Article-Match'!$F:$F,"indirect match")&gt;0,"indirect match","no match"))</f>
        <v>no match</v>
      </c>
      <c r="H14" s="17">
        <f t="shared" si="0"/>
        <v>0</v>
      </c>
      <c r="I14" s="17">
        <f t="shared" si="1"/>
        <v>0</v>
      </c>
      <c r="J14" s="17" t="str">
        <f t="shared" si="2"/>
        <v>TN</v>
      </c>
    </row>
    <row r="15" spans="1:20">
      <c r="A15" s="17" t="s">
        <v>117</v>
      </c>
      <c r="B15" s="17" t="s">
        <v>118</v>
      </c>
      <c r="C15" s="17">
        <v>14</v>
      </c>
      <c r="D15" s="17" t="s">
        <v>16</v>
      </c>
      <c r="E15" s="17" t="s">
        <v>17</v>
      </c>
      <c r="F15" s="18">
        <v>0.55259999999999998</v>
      </c>
      <c r="G15" s="17" t="str">
        <f>IF(COUNTIFS('Question-Article-Match'!$A:$A,A15,'Question-Article-Match'!$C:$C,C15,'Question-Article-Match'!$F:$F,"direct match")&gt;0,"direct match",IF(COUNTIFS('Question-Article-Match'!$A:$A,A15,'Question-Article-Match'!$C:$C,C15,'Question-Article-Match'!$F:$F,"indirect match")&gt;0,"indirect match","no match"))</f>
        <v>indirect match</v>
      </c>
      <c r="H15" s="17">
        <f t="shared" si="0"/>
        <v>1</v>
      </c>
      <c r="I15" s="17">
        <f t="shared" si="1"/>
        <v>1</v>
      </c>
      <c r="J15" s="17" t="str">
        <f t="shared" si="2"/>
        <v>TP</v>
      </c>
    </row>
    <row r="16" spans="1:20">
      <c r="A16" s="17" t="s">
        <v>117</v>
      </c>
      <c r="B16" s="17" t="s">
        <v>118</v>
      </c>
      <c r="C16" s="17">
        <v>15</v>
      </c>
      <c r="D16" s="17" t="s">
        <v>42</v>
      </c>
      <c r="E16" s="17" t="s">
        <v>43</v>
      </c>
      <c r="F16" s="18">
        <v>0.13400000000000001</v>
      </c>
      <c r="G16" s="17" t="str">
        <f>IF(COUNTIFS('Question-Article-Match'!$A:$A,A16,'Question-Article-Match'!$C:$C,C16,'Question-Article-Match'!$F:$F,"direct match")&gt;0,"direct match",IF(COUNTIFS('Question-Article-Match'!$A:$A,A16,'Question-Article-Match'!$C:$C,C16,'Question-Article-Match'!$F:$F,"indirect match")&gt;0,"indirect match","no match"))</f>
        <v>no match</v>
      </c>
      <c r="H16" s="17">
        <f t="shared" si="0"/>
        <v>0</v>
      </c>
      <c r="I16" s="17">
        <f t="shared" si="1"/>
        <v>0</v>
      </c>
      <c r="J16" s="17" t="str">
        <f t="shared" si="2"/>
        <v>TN</v>
      </c>
    </row>
    <row r="17" spans="1:10">
      <c r="A17" s="17" t="s">
        <v>117</v>
      </c>
      <c r="B17" s="17" t="s">
        <v>118</v>
      </c>
      <c r="C17" s="17">
        <v>16</v>
      </c>
      <c r="D17" s="17" t="s">
        <v>12</v>
      </c>
      <c r="E17" s="17" t="s">
        <v>13</v>
      </c>
      <c r="F17" s="18">
        <v>0.2923</v>
      </c>
      <c r="G17" s="17" t="str">
        <f>IF(COUNTIFS('Question-Article-Match'!$A:$A,A17,'Question-Article-Match'!$C:$C,C17,'Question-Article-Match'!$F:$F,"direct match")&gt;0,"direct match",IF(COUNTIFS('Question-Article-Match'!$A:$A,A17,'Question-Article-Match'!$C:$C,C17,'Question-Article-Match'!$F:$F,"indirect match")&gt;0,"indirect match","no match"))</f>
        <v>no match</v>
      </c>
      <c r="H17" s="17">
        <f t="shared" si="0"/>
        <v>0</v>
      </c>
      <c r="I17" s="17">
        <f t="shared" si="1"/>
        <v>0</v>
      </c>
      <c r="J17" s="17" t="str">
        <f t="shared" si="2"/>
        <v>TN</v>
      </c>
    </row>
    <row r="18" spans="1:10">
      <c r="A18" s="17" t="s">
        <v>117</v>
      </c>
      <c r="B18" s="17" t="s">
        <v>118</v>
      </c>
      <c r="C18" s="17">
        <v>17</v>
      </c>
      <c r="D18" s="17" t="s">
        <v>108</v>
      </c>
      <c r="E18" s="17" t="s">
        <v>109</v>
      </c>
      <c r="F18" s="18">
        <v>0.3574</v>
      </c>
      <c r="G18" s="17" t="str">
        <f>IF(COUNTIFS('Question-Article-Match'!$A:$A,A18,'Question-Article-Match'!$C:$C,C18,'Question-Article-Match'!$F:$F,"direct match")&gt;0,"direct match",IF(COUNTIFS('Question-Article-Match'!$A:$A,A18,'Question-Article-Match'!$C:$C,C18,'Question-Article-Match'!$F:$F,"indirect match")&gt;0,"indirect match","no match"))</f>
        <v>no match</v>
      </c>
      <c r="H18" s="17">
        <f t="shared" si="0"/>
        <v>0</v>
      </c>
      <c r="I18" s="17">
        <f t="shared" si="1"/>
        <v>1</v>
      </c>
      <c r="J18" s="17" t="str">
        <f t="shared" si="2"/>
        <v>FP</v>
      </c>
    </row>
    <row r="19" spans="1:10">
      <c r="A19" s="17" t="s">
        <v>117</v>
      </c>
      <c r="B19" s="17" t="s">
        <v>118</v>
      </c>
      <c r="C19" s="17">
        <v>18</v>
      </c>
      <c r="D19" s="17" t="s">
        <v>24</v>
      </c>
      <c r="E19" s="17" t="s">
        <v>25</v>
      </c>
      <c r="F19" s="18">
        <v>0.36459999999999998</v>
      </c>
      <c r="G19" s="17" t="str">
        <f>IF(COUNTIFS('Question-Article-Match'!$A:$A,A19,'Question-Article-Match'!$C:$C,C19,'Question-Article-Match'!$F:$F,"direct match")&gt;0,"direct match",IF(COUNTIFS('Question-Article-Match'!$A:$A,A19,'Question-Article-Match'!$C:$C,C19,'Question-Article-Match'!$F:$F,"indirect match")&gt;0,"indirect match","no match"))</f>
        <v>indirect match</v>
      </c>
      <c r="H19" s="17">
        <f t="shared" si="0"/>
        <v>1</v>
      </c>
      <c r="I19" s="17">
        <f t="shared" si="1"/>
        <v>1</v>
      </c>
      <c r="J19" s="17" t="str">
        <f t="shared" si="2"/>
        <v>TP</v>
      </c>
    </row>
    <row r="20" spans="1:10">
      <c r="A20" s="17" t="s">
        <v>117</v>
      </c>
      <c r="B20" s="17" t="s">
        <v>118</v>
      </c>
      <c r="C20" s="17">
        <v>19</v>
      </c>
      <c r="D20" s="17" t="s">
        <v>14</v>
      </c>
      <c r="E20" s="17" t="s">
        <v>15</v>
      </c>
      <c r="F20" s="18">
        <v>0.25259999999999999</v>
      </c>
      <c r="G20" s="17" t="str">
        <f>IF(COUNTIFS('Question-Article-Match'!$A:$A,A20,'Question-Article-Match'!$C:$C,C20,'Question-Article-Match'!$F:$F,"direct match")&gt;0,"direct match",IF(COUNTIFS('Question-Article-Match'!$A:$A,A20,'Question-Article-Match'!$C:$C,C20,'Question-Article-Match'!$F:$F,"indirect match")&gt;0,"indirect match","no match"))</f>
        <v>no match</v>
      </c>
      <c r="H20" s="17">
        <f t="shared" si="0"/>
        <v>0</v>
      </c>
      <c r="I20" s="17">
        <f t="shared" si="1"/>
        <v>0</v>
      </c>
      <c r="J20" s="17" t="str">
        <f t="shared" si="2"/>
        <v>TN</v>
      </c>
    </row>
    <row r="21" spans="1:10">
      <c r="A21" s="17" t="s">
        <v>117</v>
      </c>
      <c r="B21" s="17" t="s">
        <v>118</v>
      </c>
      <c r="C21" s="17">
        <v>20</v>
      </c>
      <c r="D21" s="17" t="s">
        <v>113</v>
      </c>
      <c r="E21" s="17" t="s">
        <v>114</v>
      </c>
      <c r="F21" s="18">
        <v>0.1037</v>
      </c>
      <c r="G21" s="17" t="str">
        <f>IF(COUNTIFS('Question-Article-Match'!$A:$A,A21,'Question-Article-Match'!$C:$C,C21,'Question-Article-Match'!$F:$F,"direct match")&gt;0,"direct match",IF(COUNTIFS('Question-Article-Match'!$A:$A,A21,'Question-Article-Match'!$C:$C,C21,'Question-Article-Match'!$F:$F,"indirect match")&gt;0,"indirect match","no match"))</f>
        <v>no match</v>
      </c>
      <c r="H21" s="17">
        <f t="shared" si="0"/>
        <v>0</v>
      </c>
      <c r="I21" s="17">
        <f t="shared" si="1"/>
        <v>0</v>
      </c>
      <c r="J21" s="17" t="str">
        <f t="shared" si="2"/>
        <v>TN</v>
      </c>
    </row>
    <row r="22" spans="1:10">
      <c r="A22" s="17" t="s">
        <v>117</v>
      </c>
      <c r="B22" s="17" t="s">
        <v>118</v>
      </c>
      <c r="C22" s="17">
        <v>21</v>
      </c>
      <c r="D22" s="17" t="s">
        <v>46</v>
      </c>
      <c r="E22" s="17" t="s">
        <v>47</v>
      </c>
      <c r="F22" s="18">
        <v>0.32729999999999998</v>
      </c>
      <c r="G22" s="17" t="str">
        <f>IF(COUNTIFS('Question-Article-Match'!$A:$A,A22,'Question-Article-Match'!$C:$C,C22,'Question-Article-Match'!$F:$F,"direct match")&gt;0,"direct match",IF(COUNTIFS('Question-Article-Match'!$A:$A,A22,'Question-Article-Match'!$C:$C,C22,'Question-Article-Match'!$F:$F,"indirect match")&gt;0,"indirect match","no match"))</f>
        <v>no match</v>
      </c>
      <c r="H22" s="17">
        <f t="shared" si="0"/>
        <v>0</v>
      </c>
      <c r="I22" s="17">
        <f t="shared" si="1"/>
        <v>0</v>
      </c>
      <c r="J22" s="17" t="str">
        <f t="shared" si="2"/>
        <v>TN</v>
      </c>
    </row>
    <row r="23" spans="1:10">
      <c r="A23" s="17" t="s">
        <v>120</v>
      </c>
      <c r="B23" s="17" t="s">
        <v>121</v>
      </c>
      <c r="C23" s="17">
        <v>1</v>
      </c>
      <c r="D23" s="17" t="s">
        <v>22</v>
      </c>
      <c r="E23" s="17" t="s">
        <v>23</v>
      </c>
      <c r="F23" s="18">
        <v>0.2918</v>
      </c>
      <c r="G23" s="17" t="str">
        <f>IF(COUNTIFS('Question-Article-Match'!$A:$A,A23,'Question-Article-Match'!$C:$C,C23,'Question-Article-Match'!$F:$F,"direct match")&gt;0,"direct match",IF(COUNTIFS('Question-Article-Match'!$A:$A,A23,'Question-Article-Match'!$C:$C,C23,'Question-Article-Match'!$F:$F,"indirect match")&gt;0,"indirect match","no match"))</f>
        <v>no match</v>
      </c>
      <c r="H23" s="17">
        <f t="shared" si="0"/>
        <v>0</v>
      </c>
      <c r="I23" s="17">
        <f t="shared" si="1"/>
        <v>0</v>
      </c>
      <c r="J23" s="17" t="str">
        <f t="shared" si="2"/>
        <v>TN</v>
      </c>
    </row>
    <row r="24" spans="1:10">
      <c r="A24" s="17" t="s">
        <v>120</v>
      </c>
      <c r="B24" s="17" t="s">
        <v>121</v>
      </c>
      <c r="C24" s="17">
        <v>2</v>
      </c>
      <c r="D24" s="17" t="s">
        <v>18</v>
      </c>
      <c r="E24" s="17" t="s">
        <v>19</v>
      </c>
      <c r="F24" s="18">
        <v>0.35310000000000002</v>
      </c>
      <c r="G24" s="17" t="str">
        <f>IF(COUNTIFS('Question-Article-Match'!$A:$A,A24,'Question-Article-Match'!$C:$C,C24,'Question-Article-Match'!$F:$F,"direct match")&gt;0,"direct match",IF(COUNTIFS('Question-Article-Match'!$A:$A,A24,'Question-Article-Match'!$C:$C,C24,'Question-Article-Match'!$F:$F,"indirect match")&gt;0,"indirect match","no match"))</f>
        <v>no match</v>
      </c>
      <c r="H24" s="17">
        <f t="shared" si="0"/>
        <v>0</v>
      </c>
      <c r="I24" s="17">
        <f t="shared" si="1"/>
        <v>1</v>
      </c>
      <c r="J24" s="17" t="str">
        <f t="shared" si="2"/>
        <v>FP</v>
      </c>
    </row>
    <row r="25" spans="1:10">
      <c r="A25" s="17" t="s">
        <v>120</v>
      </c>
      <c r="B25" s="17" t="s">
        <v>121</v>
      </c>
      <c r="C25" s="17">
        <v>3</v>
      </c>
      <c r="D25" s="17" t="s">
        <v>26</v>
      </c>
      <c r="E25" s="17" t="s">
        <v>27</v>
      </c>
      <c r="F25" s="18">
        <v>0.58889999999999998</v>
      </c>
      <c r="G25" s="17" t="str">
        <f>IF(COUNTIFS('Question-Article-Match'!$A:$A,A25,'Question-Article-Match'!$C:$C,C25,'Question-Article-Match'!$F:$F,"direct match")&gt;0,"direct match",IF(COUNTIFS('Question-Article-Match'!$A:$A,A25,'Question-Article-Match'!$C:$C,C25,'Question-Article-Match'!$F:$F,"indirect match")&gt;0,"indirect match","no match"))</f>
        <v>indirect match</v>
      </c>
      <c r="H25" s="17">
        <f t="shared" si="0"/>
        <v>1</v>
      </c>
      <c r="I25" s="17">
        <f t="shared" si="1"/>
        <v>1</v>
      </c>
      <c r="J25" s="17" t="str">
        <f t="shared" si="2"/>
        <v>TP</v>
      </c>
    </row>
    <row r="26" spans="1:10">
      <c r="A26" s="17" t="s">
        <v>120</v>
      </c>
      <c r="B26" s="17" t="s">
        <v>121</v>
      </c>
      <c r="C26" s="17">
        <v>4</v>
      </c>
      <c r="D26" s="17" t="s">
        <v>64</v>
      </c>
      <c r="E26" s="17" t="s">
        <v>65</v>
      </c>
      <c r="F26" s="18">
        <v>6.3500000000000001E-2</v>
      </c>
      <c r="G26" s="17" t="str">
        <f>IF(COUNTIFS('Question-Article-Match'!$A:$A,A26,'Question-Article-Match'!$C:$C,C26,'Question-Article-Match'!$F:$F,"direct match")&gt;0,"direct match",IF(COUNTIFS('Question-Article-Match'!$A:$A,A26,'Question-Article-Match'!$C:$C,C26,'Question-Article-Match'!$F:$F,"indirect match")&gt;0,"indirect match","no match"))</f>
        <v>no match</v>
      </c>
      <c r="H26" s="17">
        <f t="shared" si="0"/>
        <v>0</v>
      </c>
      <c r="I26" s="17">
        <f t="shared" si="1"/>
        <v>0</v>
      </c>
      <c r="J26" s="17" t="str">
        <f t="shared" si="2"/>
        <v>TN</v>
      </c>
    </row>
    <row r="27" spans="1:10">
      <c r="A27" s="17" t="s">
        <v>120</v>
      </c>
      <c r="B27" s="17" t="s">
        <v>121</v>
      </c>
      <c r="C27" s="17">
        <v>5</v>
      </c>
      <c r="D27" s="17" t="s">
        <v>36</v>
      </c>
      <c r="E27" s="17" t="s">
        <v>37</v>
      </c>
      <c r="F27" s="18">
        <v>0.20860000000000001</v>
      </c>
      <c r="G27" s="17" t="str">
        <f>IF(COUNTIFS('Question-Article-Match'!$A:$A,A27,'Question-Article-Match'!$C:$C,C27,'Question-Article-Match'!$F:$F,"direct match")&gt;0,"direct match",IF(COUNTIFS('Question-Article-Match'!$A:$A,A27,'Question-Article-Match'!$C:$C,C27,'Question-Article-Match'!$F:$F,"indirect match")&gt;0,"indirect match","no match"))</f>
        <v>no match</v>
      </c>
      <c r="H27" s="17">
        <f t="shared" si="0"/>
        <v>0</v>
      </c>
      <c r="I27" s="17">
        <f t="shared" si="1"/>
        <v>0</v>
      </c>
      <c r="J27" s="17" t="str">
        <f t="shared" si="2"/>
        <v>TN</v>
      </c>
    </row>
    <row r="28" spans="1:10">
      <c r="A28" s="17" t="s">
        <v>120</v>
      </c>
      <c r="B28" s="17" t="s">
        <v>121</v>
      </c>
      <c r="C28" s="17">
        <v>6</v>
      </c>
      <c r="D28" s="17" t="s">
        <v>28</v>
      </c>
      <c r="E28" s="17" t="s">
        <v>29</v>
      </c>
      <c r="F28" s="18">
        <v>0.17399999999999999</v>
      </c>
      <c r="G28" s="17" t="str">
        <f>IF(COUNTIFS('Question-Article-Match'!$A:$A,A28,'Question-Article-Match'!$C:$C,C28,'Question-Article-Match'!$F:$F,"direct match")&gt;0,"direct match",IF(COUNTIFS('Question-Article-Match'!$A:$A,A28,'Question-Article-Match'!$C:$C,C28,'Question-Article-Match'!$F:$F,"indirect match")&gt;0,"indirect match","no match"))</f>
        <v>no match</v>
      </c>
      <c r="H28" s="17">
        <f t="shared" si="0"/>
        <v>0</v>
      </c>
      <c r="I28" s="17">
        <f t="shared" si="1"/>
        <v>0</v>
      </c>
      <c r="J28" s="17" t="str">
        <f t="shared" si="2"/>
        <v>TN</v>
      </c>
    </row>
    <row r="29" spans="1:10">
      <c r="A29" s="17" t="s">
        <v>120</v>
      </c>
      <c r="B29" s="17" t="s">
        <v>121</v>
      </c>
      <c r="C29" s="17">
        <v>7</v>
      </c>
      <c r="D29" s="17" t="s">
        <v>75</v>
      </c>
      <c r="E29" s="17" t="s">
        <v>76</v>
      </c>
      <c r="F29" s="18">
        <v>0.1406</v>
      </c>
      <c r="G29" s="17" t="str">
        <f>IF(COUNTIFS('Question-Article-Match'!$A:$A,A29,'Question-Article-Match'!$C:$C,C29,'Question-Article-Match'!$F:$F,"direct match")&gt;0,"direct match",IF(COUNTIFS('Question-Article-Match'!$A:$A,A29,'Question-Article-Match'!$C:$C,C29,'Question-Article-Match'!$F:$F,"indirect match")&gt;0,"indirect match","no match"))</f>
        <v>no match</v>
      </c>
      <c r="H29" s="17">
        <f t="shared" si="0"/>
        <v>0</v>
      </c>
      <c r="I29" s="17">
        <f t="shared" si="1"/>
        <v>0</v>
      </c>
      <c r="J29" s="17" t="str">
        <f t="shared" si="2"/>
        <v>TN</v>
      </c>
    </row>
    <row r="30" spans="1:10">
      <c r="A30" s="17" t="s">
        <v>120</v>
      </c>
      <c r="B30" s="17" t="s">
        <v>121</v>
      </c>
      <c r="C30" s="17">
        <v>8</v>
      </c>
      <c r="D30" s="17" t="s">
        <v>40</v>
      </c>
      <c r="E30" s="17" t="s">
        <v>41</v>
      </c>
      <c r="F30" s="18">
        <v>0.2195</v>
      </c>
      <c r="G30" s="17" t="str">
        <f>IF(COUNTIFS('Question-Article-Match'!$A:$A,A30,'Question-Article-Match'!$C:$C,C30,'Question-Article-Match'!$F:$F,"direct match")&gt;0,"direct match",IF(COUNTIFS('Question-Article-Match'!$A:$A,A30,'Question-Article-Match'!$C:$C,C30,'Question-Article-Match'!$F:$F,"indirect match")&gt;0,"indirect match","no match"))</f>
        <v>no match</v>
      </c>
      <c r="H30" s="17">
        <f t="shared" si="0"/>
        <v>0</v>
      </c>
      <c r="I30" s="17">
        <f t="shared" si="1"/>
        <v>0</v>
      </c>
      <c r="J30" s="17" t="str">
        <f t="shared" si="2"/>
        <v>TN</v>
      </c>
    </row>
    <row r="31" spans="1:10">
      <c r="A31" s="17" t="s">
        <v>120</v>
      </c>
      <c r="B31" s="17" t="s">
        <v>121</v>
      </c>
      <c r="C31" s="17">
        <v>9</v>
      </c>
      <c r="D31" s="17" t="s">
        <v>10</v>
      </c>
      <c r="E31" s="17" t="s">
        <v>11</v>
      </c>
      <c r="F31" s="18">
        <v>4.2200000000000001E-2</v>
      </c>
      <c r="G31" s="17" t="str">
        <f>IF(COUNTIFS('Question-Article-Match'!$A:$A,A31,'Question-Article-Match'!$C:$C,C31,'Question-Article-Match'!$F:$F,"direct match")&gt;0,"direct match",IF(COUNTIFS('Question-Article-Match'!$A:$A,A31,'Question-Article-Match'!$C:$C,C31,'Question-Article-Match'!$F:$F,"indirect match")&gt;0,"indirect match","no match"))</f>
        <v>no match</v>
      </c>
      <c r="H31" s="17">
        <f t="shared" si="0"/>
        <v>0</v>
      </c>
      <c r="I31" s="17">
        <f t="shared" si="1"/>
        <v>0</v>
      </c>
      <c r="J31" s="17" t="str">
        <f t="shared" si="2"/>
        <v>TN</v>
      </c>
    </row>
    <row r="32" spans="1:10">
      <c r="A32" s="17" t="s">
        <v>120</v>
      </c>
      <c r="B32" s="17" t="s">
        <v>121</v>
      </c>
      <c r="C32" s="17">
        <v>10</v>
      </c>
      <c r="D32" s="17" t="s">
        <v>32</v>
      </c>
      <c r="E32" s="17" t="s">
        <v>33</v>
      </c>
      <c r="F32" s="18">
        <v>5.74E-2</v>
      </c>
      <c r="G32" s="17" t="str">
        <f>IF(COUNTIFS('Question-Article-Match'!$A:$A,A32,'Question-Article-Match'!$C:$C,C32,'Question-Article-Match'!$F:$F,"direct match")&gt;0,"direct match",IF(COUNTIFS('Question-Article-Match'!$A:$A,A32,'Question-Article-Match'!$C:$C,C32,'Question-Article-Match'!$F:$F,"indirect match")&gt;0,"indirect match","no match"))</f>
        <v>no match</v>
      </c>
      <c r="H32" s="17">
        <f t="shared" si="0"/>
        <v>0</v>
      </c>
      <c r="I32" s="17">
        <f t="shared" si="1"/>
        <v>0</v>
      </c>
      <c r="J32" s="17" t="str">
        <f t="shared" si="2"/>
        <v>TN</v>
      </c>
    </row>
    <row r="33" spans="1:10">
      <c r="A33" s="17" t="s">
        <v>120</v>
      </c>
      <c r="B33" s="17" t="s">
        <v>121</v>
      </c>
      <c r="C33" s="17">
        <v>11</v>
      </c>
      <c r="D33" s="17" t="s">
        <v>89</v>
      </c>
      <c r="E33" s="17" t="s">
        <v>90</v>
      </c>
      <c r="F33" s="18">
        <v>0.14269999999999999</v>
      </c>
      <c r="G33" s="17" t="str">
        <f>IF(COUNTIFS('Question-Article-Match'!$A:$A,A33,'Question-Article-Match'!$C:$C,C33,'Question-Article-Match'!$F:$F,"direct match")&gt;0,"direct match",IF(COUNTIFS('Question-Article-Match'!$A:$A,A33,'Question-Article-Match'!$C:$C,C33,'Question-Article-Match'!$F:$F,"indirect match")&gt;0,"indirect match","no match"))</f>
        <v>no match</v>
      </c>
      <c r="H33" s="17">
        <f t="shared" si="0"/>
        <v>0</v>
      </c>
      <c r="I33" s="17">
        <f t="shared" si="1"/>
        <v>0</v>
      </c>
      <c r="J33" s="17" t="str">
        <f t="shared" si="2"/>
        <v>TN</v>
      </c>
    </row>
    <row r="34" spans="1:10">
      <c r="A34" s="17" t="s">
        <v>120</v>
      </c>
      <c r="B34" s="17" t="s">
        <v>121</v>
      </c>
      <c r="C34" s="17">
        <v>12</v>
      </c>
      <c r="D34" s="17" t="s">
        <v>20</v>
      </c>
      <c r="E34" s="17" t="s">
        <v>21</v>
      </c>
      <c r="F34" s="18">
        <v>0.16259999999999999</v>
      </c>
      <c r="G34" s="17" t="str">
        <f>IF(COUNTIFS('Question-Article-Match'!$A:$A,A34,'Question-Article-Match'!$C:$C,C34,'Question-Article-Match'!$F:$F,"direct match")&gt;0,"direct match",IF(COUNTIFS('Question-Article-Match'!$A:$A,A34,'Question-Article-Match'!$C:$C,C34,'Question-Article-Match'!$F:$F,"indirect match")&gt;0,"indirect match","no match"))</f>
        <v>no match</v>
      </c>
      <c r="H34" s="17">
        <f t="shared" si="0"/>
        <v>0</v>
      </c>
      <c r="I34" s="17">
        <f t="shared" si="1"/>
        <v>0</v>
      </c>
      <c r="J34" s="17" t="str">
        <f t="shared" si="2"/>
        <v>TN</v>
      </c>
    </row>
    <row r="35" spans="1:10">
      <c r="A35" s="17" t="s">
        <v>120</v>
      </c>
      <c r="B35" s="17" t="s">
        <v>121</v>
      </c>
      <c r="C35" s="17">
        <v>13</v>
      </c>
      <c r="D35" s="17" t="s">
        <v>34</v>
      </c>
      <c r="E35" s="17" t="s">
        <v>35</v>
      </c>
      <c r="F35" s="18">
        <v>0.2732</v>
      </c>
      <c r="G35" s="17" t="str">
        <f>IF(COUNTIFS('Question-Article-Match'!$A:$A,A35,'Question-Article-Match'!$C:$C,C35,'Question-Article-Match'!$F:$F,"direct match")&gt;0,"direct match",IF(COUNTIFS('Question-Article-Match'!$A:$A,A35,'Question-Article-Match'!$C:$C,C35,'Question-Article-Match'!$F:$F,"indirect match")&gt;0,"indirect match","no match"))</f>
        <v>no match</v>
      </c>
      <c r="H35" s="17">
        <f t="shared" si="0"/>
        <v>0</v>
      </c>
      <c r="I35" s="17">
        <f t="shared" si="1"/>
        <v>0</v>
      </c>
      <c r="J35" s="17" t="str">
        <f t="shared" si="2"/>
        <v>TN</v>
      </c>
    </row>
    <row r="36" spans="1:10">
      <c r="A36" s="17" t="s">
        <v>120</v>
      </c>
      <c r="B36" s="17" t="s">
        <v>121</v>
      </c>
      <c r="C36" s="17">
        <v>14</v>
      </c>
      <c r="D36" s="17" t="s">
        <v>16</v>
      </c>
      <c r="E36" s="17" t="s">
        <v>17</v>
      </c>
      <c r="F36" s="18">
        <v>0.57850000000000001</v>
      </c>
      <c r="G36" s="17" t="str">
        <f>IF(COUNTIFS('Question-Article-Match'!$A:$A,A36,'Question-Article-Match'!$C:$C,C36,'Question-Article-Match'!$F:$F,"direct match")&gt;0,"direct match",IF(COUNTIFS('Question-Article-Match'!$A:$A,A36,'Question-Article-Match'!$C:$C,C36,'Question-Article-Match'!$F:$F,"indirect match")&gt;0,"indirect match","no match"))</f>
        <v>no match</v>
      </c>
      <c r="H36" s="17">
        <f t="shared" si="0"/>
        <v>0</v>
      </c>
      <c r="I36" s="17">
        <f t="shared" si="1"/>
        <v>1</v>
      </c>
      <c r="J36" s="17" t="str">
        <f t="shared" si="2"/>
        <v>FP</v>
      </c>
    </row>
    <row r="37" spans="1:10">
      <c r="A37" s="17" t="s">
        <v>120</v>
      </c>
      <c r="B37" s="17" t="s">
        <v>121</v>
      </c>
      <c r="C37" s="17">
        <v>15</v>
      </c>
      <c r="D37" s="17" t="s">
        <v>42</v>
      </c>
      <c r="E37" s="17" t="s">
        <v>43</v>
      </c>
      <c r="F37" s="18">
        <v>0.2109</v>
      </c>
      <c r="G37" s="17" t="str">
        <f>IF(COUNTIFS('Question-Article-Match'!$A:$A,A37,'Question-Article-Match'!$C:$C,C37,'Question-Article-Match'!$F:$F,"direct match")&gt;0,"direct match",IF(COUNTIFS('Question-Article-Match'!$A:$A,A37,'Question-Article-Match'!$C:$C,C37,'Question-Article-Match'!$F:$F,"indirect match")&gt;0,"indirect match","no match"))</f>
        <v>no match</v>
      </c>
      <c r="H37" s="17">
        <f t="shared" si="0"/>
        <v>0</v>
      </c>
      <c r="I37" s="17">
        <f t="shared" si="1"/>
        <v>0</v>
      </c>
      <c r="J37" s="17" t="str">
        <f t="shared" si="2"/>
        <v>TN</v>
      </c>
    </row>
    <row r="38" spans="1:10">
      <c r="A38" s="17" t="s">
        <v>120</v>
      </c>
      <c r="B38" s="17" t="s">
        <v>121</v>
      </c>
      <c r="C38" s="17">
        <v>16</v>
      </c>
      <c r="D38" s="17" t="s">
        <v>12</v>
      </c>
      <c r="E38" s="17" t="s">
        <v>13</v>
      </c>
      <c r="F38" s="18">
        <v>0.32100000000000001</v>
      </c>
      <c r="G38" s="17" t="str">
        <f>IF(COUNTIFS('Question-Article-Match'!$A:$A,A38,'Question-Article-Match'!$C:$C,C38,'Question-Article-Match'!$F:$F,"direct match")&gt;0,"direct match",IF(COUNTIFS('Question-Article-Match'!$A:$A,A38,'Question-Article-Match'!$C:$C,C38,'Question-Article-Match'!$F:$F,"indirect match")&gt;0,"indirect match","no match"))</f>
        <v>no match</v>
      </c>
      <c r="H38" s="17">
        <f t="shared" si="0"/>
        <v>0</v>
      </c>
      <c r="I38" s="17">
        <f t="shared" si="1"/>
        <v>0</v>
      </c>
      <c r="J38" s="17" t="str">
        <f t="shared" si="2"/>
        <v>TN</v>
      </c>
    </row>
    <row r="39" spans="1:10">
      <c r="A39" s="17" t="s">
        <v>120</v>
      </c>
      <c r="B39" s="17" t="s">
        <v>121</v>
      </c>
      <c r="C39" s="17">
        <v>17</v>
      </c>
      <c r="D39" s="17" t="s">
        <v>108</v>
      </c>
      <c r="E39" s="17" t="s">
        <v>109</v>
      </c>
      <c r="F39" s="18">
        <v>0.32900000000000001</v>
      </c>
      <c r="G39" s="17" t="str">
        <f>IF(COUNTIFS('Question-Article-Match'!$A:$A,A39,'Question-Article-Match'!$C:$C,C39,'Question-Article-Match'!$F:$F,"direct match")&gt;0,"direct match",IF(COUNTIFS('Question-Article-Match'!$A:$A,A39,'Question-Article-Match'!$C:$C,C39,'Question-Article-Match'!$F:$F,"indirect match")&gt;0,"indirect match","no match"))</f>
        <v>no match</v>
      </c>
      <c r="H39" s="17">
        <f t="shared" si="0"/>
        <v>0</v>
      </c>
      <c r="I39" s="17">
        <f t="shared" si="1"/>
        <v>0</v>
      </c>
      <c r="J39" s="17" t="str">
        <f t="shared" si="2"/>
        <v>TN</v>
      </c>
    </row>
    <row r="40" spans="1:10">
      <c r="A40" s="17" t="s">
        <v>120</v>
      </c>
      <c r="B40" s="17" t="s">
        <v>121</v>
      </c>
      <c r="C40" s="17">
        <v>18</v>
      </c>
      <c r="D40" s="17" t="s">
        <v>24</v>
      </c>
      <c r="E40" s="17" t="s">
        <v>25</v>
      </c>
      <c r="F40" s="18">
        <v>0.50890000000000002</v>
      </c>
      <c r="G40" s="17" t="str">
        <f>IF(COUNTIFS('Question-Article-Match'!$A:$A,A40,'Question-Article-Match'!$C:$C,C40,'Question-Article-Match'!$F:$F,"direct match")&gt;0,"direct match",IF(COUNTIFS('Question-Article-Match'!$A:$A,A40,'Question-Article-Match'!$C:$C,C40,'Question-Article-Match'!$F:$F,"indirect match")&gt;0,"indirect match","no match"))</f>
        <v>direct match</v>
      </c>
      <c r="H40" s="17">
        <f t="shared" si="0"/>
        <v>1</v>
      </c>
      <c r="I40" s="17">
        <f t="shared" si="1"/>
        <v>1</v>
      </c>
      <c r="J40" s="17" t="str">
        <f t="shared" si="2"/>
        <v>TP</v>
      </c>
    </row>
    <row r="41" spans="1:10">
      <c r="A41" s="17" t="s">
        <v>120</v>
      </c>
      <c r="B41" s="17" t="s">
        <v>121</v>
      </c>
      <c r="C41" s="17">
        <v>19</v>
      </c>
      <c r="D41" s="17" t="s">
        <v>14</v>
      </c>
      <c r="E41" s="17" t="s">
        <v>15</v>
      </c>
      <c r="F41" s="18">
        <v>0.36170000000000002</v>
      </c>
      <c r="G41" s="17" t="str">
        <f>IF(COUNTIFS('Question-Article-Match'!$A:$A,A41,'Question-Article-Match'!$C:$C,C41,'Question-Article-Match'!$F:$F,"direct match")&gt;0,"direct match",IF(COUNTIFS('Question-Article-Match'!$A:$A,A41,'Question-Article-Match'!$C:$C,C41,'Question-Article-Match'!$F:$F,"indirect match")&gt;0,"indirect match","no match"))</f>
        <v>no match</v>
      </c>
      <c r="H41" s="17">
        <f t="shared" si="0"/>
        <v>0</v>
      </c>
      <c r="I41" s="17">
        <f t="shared" si="1"/>
        <v>1</v>
      </c>
      <c r="J41" s="17" t="str">
        <f t="shared" si="2"/>
        <v>FP</v>
      </c>
    </row>
    <row r="42" spans="1:10">
      <c r="A42" s="17" t="s">
        <v>120</v>
      </c>
      <c r="B42" s="17" t="s">
        <v>121</v>
      </c>
      <c r="C42" s="17">
        <v>20</v>
      </c>
      <c r="D42" s="17" t="s">
        <v>113</v>
      </c>
      <c r="E42" s="17" t="s">
        <v>114</v>
      </c>
      <c r="F42" s="18">
        <v>0.1336</v>
      </c>
      <c r="G42" s="17" t="str">
        <f>IF(COUNTIFS('Question-Article-Match'!$A:$A,A42,'Question-Article-Match'!$C:$C,C42,'Question-Article-Match'!$F:$F,"direct match")&gt;0,"direct match",IF(COUNTIFS('Question-Article-Match'!$A:$A,A42,'Question-Article-Match'!$C:$C,C42,'Question-Article-Match'!$F:$F,"indirect match")&gt;0,"indirect match","no match"))</f>
        <v>no match</v>
      </c>
      <c r="H42" s="17">
        <f t="shared" si="0"/>
        <v>0</v>
      </c>
      <c r="I42" s="17">
        <f t="shared" si="1"/>
        <v>0</v>
      </c>
      <c r="J42" s="17" t="str">
        <f t="shared" si="2"/>
        <v>TN</v>
      </c>
    </row>
    <row r="43" spans="1:10">
      <c r="A43" s="17" t="s">
        <v>120</v>
      </c>
      <c r="B43" s="17" t="s">
        <v>121</v>
      </c>
      <c r="C43" s="17">
        <v>21</v>
      </c>
      <c r="D43" s="17" t="s">
        <v>46</v>
      </c>
      <c r="E43" s="17" t="s">
        <v>47</v>
      </c>
      <c r="F43" s="18">
        <v>0.32479999999999998</v>
      </c>
      <c r="G43" s="17" t="str">
        <f>IF(COUNTIFS('Question-Article-Match'!$A:$A,A43,'Question-Article-Match'!$C:$C,C43,'Question-Article-Match'!$F:$F,"direct match")&gt;0,"direct match",IF(COUNTIFS('Question-Article-Match'!$A:$A,A43,'Question-Article-Match'!$C:$C,C43,'Question-Article-Match'!$F:$F,"indirect match")&gt;0,"indirect match","no match"))</f>
        <v>no match</v>
      </c>
      <c r="H43" s="17">
        <f t="shared" si="0"/>
        <v>0</v>
      </c>
      <c r="I43" s="17">
        <f t="shared" si="1"/>
        <v>0</v>
      </c>
      <c r="J43" s="17" t="str">
        <f t="shared" si="2"/>
        <v>TN</v>
      </c>
    </row>
    <row r="44" spans="1:10">
      <c r="A44" s="17" t="s">
        <v>123</v>
      </c>
      <c r="B44" s="17" t="s">
        <v>124</v>
      </c>
      <c r="C44" s="17">
        <v>1</v>
      </c>
      <c r="D44" s="17" t="s">
        <v>22</v>
      </c>
      <c r="E44" s="17" t="s">
        <v>23</v>
      </c>
      <c r="F44" s="18">
        <v>0.32050000000000001</v>
      </c>
      <c r="G44" s="17" t="str">
        <f>IF(COUNTIFS('Question-Article-Match'!$A:$A,A44,'Question-Article-Match'!$C:$C,C44,'Question-Article-Match'!$F:$F,"direct match")&gt;0,"direct match",IF(COUNTIFS('Question-Article-Match'!$A:$A,A44,'Question-Article-Match'!$C:$C,C44,'Question-Article-Match'!$F:$F,"indirect match")&gt;0,"indirect match","no match"))</f>
        <v>indirect match</v>
      </c>
      <c r="H44" s="17">
        <f t="shared" si="0"/>
        <v>1</v>
      </c>
      <c r="I44" s="17">
        <f t="shared" si="1"/>
        <v>0</v>
      </c>
      <c r="J44" s="17" t="str">
        <f t="shared" si="2"/>
        <v>FN</v>
      </c>
    </row>
    <row r="45" spans="1:10">
      <c r="A45" s="17" t="s">
        <v>123</v>
      </c>
      <c r="B45" s="17" t="s">
        <v>124</v>
      </c>
      <c r="C45" s="17">
        <v>2</v>
      </c>
      <c r="D45" s="17" t="s">
        <v>18</v>
      </c>
      <c r="E45" s="17" t="s">
        <v>19</v>
      </c>
      <c r="F45" s="18">
        <v>0.31690000000000002</v>
      </c>
      <c r="G45" s="17" t="str">
        <f>IF(COUNTIFS('Question-Article-Match'!$A:$A,A45,'Question-Article-Match'!$C:$C,C45,'Question-Article-Match'!$F:$F,"direct match")&gt;0,"direct match",IF(COUNTIFS('Question-Article-Match'!$A:$A,A45,'Question-Article-Match'!$C:$C,C45,'Question-Article-Match'!$F:$F,"indirect match")&gt;0,"indirect match","no match"))</f>
        <v>indirect match</v>
      </c>
      <c r="H45" s="17">
        <f t="shared" si="0"/>
        <v>1</v>
      </c>
      <c r="I45" s="17">
        <f t="shared" si="1"/>
        <v>0</v>
      </c>
      <c r="J45" s="17" t="str">
        <f t="shared" si="2"/>
        <v>FN</v>
      </c>
    </row>
    <row r="46" spans="1:10">
      <c r="A46" s="17" t="s">
        <v>123</v>
      </c>
      <c r="B46" s="17" t="s">
        <v>124</v>
      </c>
      <c r="C46" s="17">
        <v>3</v>
      </c>
      <c r="D46" s="17" t="s">
        <v>26</v>
      </c>
      <c r="E46" s="17" t="s">
        <v>27</v>
      </c>
      <c r="F46" s="18">
        <v>0.3352</v>
      </c>
      <c r="G46" s="17" t="str">
        <f>IF(COUNTIFS('Question-Article-Match'!$A:$A,A46,'Question-Article-Match'!$C:$C,C46,'Question-Article-Match'!$F:$F,"direct match")&gt;0,"direct match",IF(COUNTIFS('Question-Article-Match'!$A:$A,A46,'Question-Article-Match'!$C:$C,C46,'Question-Article-Match'!$F:$F,"indirect match")&gt;0,"indirect match","no match"))</f>
        <v>no match</v>
      </c>
      <c r="H46" s="17">
        <f t="shared" si="0"/>
        <v>0</v>
      </c>
      <c r="I46" s="17">
        <f t="shared" si="1"/>
        <v>0</v>
      </c>
      <c r="J46" s="17" t="str">
        <f t="shared" si="2"/>
        <v>TN</v>
      </c>
    </row>
    <row r="47" spans="1:10">
      <c r="A47" s="17" t="s">
        <v>123</v>
      </c>
      <c r="B47" s="17" t="s">
        <v>124</v>
      </c>
      <c r="C47" s="17">
        <v>4</v>
      </c>
      <c r="D47" s="17" t="s">
        <v>64</v>
      </c>
      <c r="E47" s="17" t="s">
        <v>65</v>
      </c>
      <c r="F47" s="18">
        <v>4.3299999999999998E-2</v>
      </c>
      <c r="G47" s="17" t="str">
        <f>IF(COUNTIFS('Question-Article-Match'!$A:$A,A47,'Question-Article-Match'!$C:$C,C47,'Question-Article-Match'!$F:$F,"direct match")&gt;0,"direct match",IF(COUNTIFS('Question-Article-Match'!$A:$A,A47,'Question-Article-Match'!$C:$C,C47,'Question-Article-Match'!$F:$F,"indirect match")&gt;0,"indirect match","no match"))</f>
        <v>no match</v>
      </c>
      <c r="H47" s="17">
        <f t="shared" si="0"/>
        <v>0</v>
      </c>
      <c r="I47" s="17">
        <f t="shared" si="1"/>
        <v>0</v>
      </c>
      <c r="J47" s="17" t="str">
        <f t="shared" si="2"/>
        <v>TN</v>
      </c>
    </row>
    <row r="48" spans="1:10">
      <c r="A48" s="17" t="s">
        <v>123</v>
      </c>
      <c r="B48" s="17" t="s">
        <v>124</v>
      </c>
      <c r="C48" s="17">
        <v>5</v>
      </c>
      <c r="D48" s="17" t="s">
        <v>36</v>
      </c>
      <c r="E48" s="17" t="s">
        <v>37</v>
      </c>
      <c r="F48" s="18">
        <v>0.25369999999999998</v>
      </c>
      <c r="G48" s="17" t="str">
        <f>IF(COUNTIFS('Question-Article-Match'!$A:$A,A48,'Question-Article-Match'!$C:$C,C48,'Question-Article-Match'!$F:$F,"direct match")&gt;0,"direct match",IF(COUNTIFS('Question-Article-Match'!$A:$A,A48,'Question-Article-Match'!$C:$C,C48,'Question-Article-Match'!$F:$F,"indirect match")&gt;0,"indirect match","no match"))</f>
        <v>no match</v>
      </c>
      <c r="H48" s="17">
        <f t="shared" si="0"/>
        <v>0</v>
      </c>
      <c r="I48" s="17">
        <f t="shared" si="1"/>
        <v>0</v>
      </c>
      <c r="J48" s="17" t="str">
        <f t="shared" si="2"/>
        <v>TN</v>
      </c>
    </row>
    <row r="49" spans="1:10">
      <c r="A49" s="17" t="s">
        <v>123</v>
      </c>
      <c r="B49" s="17" t="s">
        <v>124</v>
      </c>
      <c r="C49" s="17">
        <v>6</v>
      </c>
      <c r="D49" s="17" t="s">
        <v>28</v>
      </c>
      <c r="E49" s="17" t="s">
        <v>29</v>
      </c>
      <c r="F49" s="18">
        <v>0.2303</v>
      </c>
      <c r="G49" s="17" t="str">
        <f>IF(COUNTIFS('Question-Article-Match'!$A:$A,A49,'Question-Article-Match'!$C:$C,C49,'Question-Article-Match'!$F:$F,"direct match")&gt;0,"direct match",IF(COUNTIFS('Question-Article-Match'!$A:$A,A49,'Question-Article-Match'!$C:$C,C49,'Question-Article-Match'!$F:$F,"indirect match")&gt;0,"indirect match","no match"))</f>
        <v>no match</v>
      </c>
      <c r="H49" s="17">
        <f t="shared" si="0"/>
        <v>0</v>
      </c>
      <c r="I49" s="17">
        <f t="shared" si="1"/>
        <v>0</v>
      </c>
      <c r="J49" s="17" t="str">
        <f t="shared" si="2"/>
        <v>TN</v>
      </c>
    </row>
    <row r="50" spans="1:10">
      <c r="A50" s="17" t="s">
        <v>123</v>
      </c>
      <c r="B50" s="17" t="s">
        <v>124</v>
      </c>
      <c r="C50" s="17">
        <v>7</v>
      </c>
      <c r="D50" s="17" t="s">
        <v>75</v>
      </c>
      <c r="E50" s="17" t="s">
        <v>76</v>
      </c>
      <c r="F50" s="18">
        <v>0.22950000000000001</v>
      </c>
      <c r="G50" s="17" t="str">
        <f>IF(COUNTIFS('Question-Article-Match'!$A:$A,A50,'Question-Article-Match'!$C:$C,C50,'Question-Article-Match'!$F:$F,"direct match")&gt;0,"direct match",IF(COUNTIFS('Question-Article-Match'!$A:$A,A50,'Question-Article-Match'!$C:$C,C50,'Question-Article-Match'!$F:$F,"indirect match")&gt;0,"indirect match","no match"))</f>
        <v>no match</v>
      </c>
      <c r="H50" s="17">
        <f t="shared" si="0"/>
        <v>0</v>
      </c>
      <c r="I50" s="17">
        <f t="shared" si="1"/>
        <v>0</v>
      </c>
      <c r="J50" s="17" t="str">
        <f t="shared" si="2"/>
        <v>TN</v>
      </c>
    </row>
    <row r="51" spans="1:10">
      <c r="A51" s="17" t="s">
        <v>123</v>
      </c>
      <c r="B51" s="17" t="s">
        <v>124</v>
      </c>
      <c r="C51" s="17">
        <v>8</v>
      </c>
      <c r="D51" s="17" t="s">
        <v>40</v>
      </c>
      <c r="E51" s="17" t="s">
        <v>41</v>
      </c>
      <c r="F51" s="18">
        <v>0.2339</v>
      </c>
      <c r="G51" s="17" t="str">
        <f>IF(COUNTIFS('Question-Article-Match'!$A:$A,A51,'Question-Article-Match'!$C:$C,C51,'Question-Article-Match'!$F:$F,"direct match")&gt;0,"direct match",IF(COUNTIFS('Question-Article-Match'!$A:$A,A51,'Question-Article-Match'!$C:$C,C51,'Question-Article-Match'!$F:$F,"indirect match")&gt;0,"indirect match","no match"))</f>
        <v>no match</v>
      </c>
      <c r="H51" s="17">
        <f t="shared" si="0"/>
        <v>0</v>
      </c>
      <c r="I51" s="17">
        <f t="shared" si="1"/>
        <v>0</v>
      </c>
      <c r="J51" s="17" t="str">
        <f t="shared" si="2"/>
        <v>TN</v>
      </c>
    </row>
    <row r="52" spans="1:10">
      <c r="A52" s="17" t="s">
        <v>123</v>
      </c>
      <c r="B52" s="17" t="s">
        <v>124</v>
      </c>
      <c r="C52" s="17">
        <v>9</v>
      </c>
      <c r="D52" s="17" t="s">
        <v>10</v>
      </c>
      <c r="E52" s="17" t="s">
        <v>11</v>
      </c>
      <c r="F52" s="18">
        <v>0.38030000000000003</v>
      </c>
      <c r="G52" s="17" t="str">
        <f>IF(COUNTIFS('Question-Article-Match'!$A:$A,A52,'Question-Article-Match'!$C:$C,C52,'Question-Article-Match'!$F:$F,"direct match")&gt;0,"direct match",IF(COUNTIFS('Question-Article-Match'!$A:$A,A52,'Question-Article-Match'!$C:$C,C52,'Question-Article-Match'!$F:$F,"indirect match")&gt;0,"indirect match","no match"))</f>
        <v>indirect match</v>
      </c>
      <c r="H52" s="17">
        <f t="shared" si="0"/>
        <v>1</v>
      </c>
      <c r="I52" s="17">
        <f t="shared" si="1"/>
        <v>1</v>
      </c>
      <c r="J52" s="17" t="str">
        <f t="shared" si="2"/>
        <v>TP</v>
      </c>
    </row>
    <row r="53" spans="1:10">
      <c r="A53" s="17" t="s">
        <v>123</v>
      </c>
      <c r="B53" s="17" t="s">
        <v>124</v>
      </c>
      <c r="C53" s="17">
        <v>10</v>
      </c>
      <c r="D53" s="17" t="s">
        <v>32</v>
      </c>
      <c r="E53" s="17" t="s">
        <v>33</v>
      </c>
      <c r="F53" s="18">
        <v>0.24110000000000001</v>
      </c>
      <c r="G53" s="17" t="str">
        <f>IF(COUNTIFS('Question-Article-Match'!$A:$A,A53,'Question-Article-Match'!$C:$C,C53,'Question-Article-Match'!$F:$F,"direct match")&gt;0,"direct match",IF(COUNTIFS('Question-Article-Match'!$A:$A,A53,'Question-Article-Match'!$C:$C,C53,'Question-Article-Match'!$F:$F,"indirect match")&gt;0,"indirect match","no match"))</f>
        <v>no match</v>
      </c>
      <c r="H53" s="17">
        <f t="shared" si="0"/>
        <v>0</v>
      </c>
      <c r="I53" s="17">
        <f t="shared" si="1"/>
        <v>0</v>
      </c>
      <c r="J53" s="17" t="str">
        <f t="shared" si="2"/>
        <v>TN</v>
      </c>
    </row>
    <row r="54" spans="1:10">
      <c r="A54" s="17" t="s">
        <v>123</v>
      </c>
      <c r="B54" s="17" t="s">
        <v>124</v>
      </c>
      <c r="C54" s="17">
        <v>11</v>
      </c>
      <c r="D54" s="17" t="s">
        <v>89</v>
      </c>
      <c r="E54" s="17" t="s">
        <v>90</v>
      </c>
      <c r="F54" s="18">
        <v>0.1147</v>
      </c>
      <c r="G54" s="17" t="str">
        <f>IF(COUNTIFS('Question-Article-Match'!$A:$A,A54,'Question-Article-Match'!$C:$C,C54,'Question-Article-Match'!$F:$F,"direct match")&gt;0,"direct match",IF(COUNTIFS('Question-Article-Match'!$A:$A,A54,'Question-Article-Match'!$C:$C,C54,'Question-Article-Match'!$F:$F,"indirect match")&gt;0,"indirect match","no match"))</f>
        <v>no match</v>
      </c>
      <c r="H54" s="17">
        <f t="shared" si="0"/>
        <v>0</v>
      </c>
      <c r="I54" s="17">
        <f t="shared" si="1"/>
        <v>0</v>
      </c>
      <c r="J54" s="17" t="str">
        <f t="shared" si="2"/>
        <v>TN</v>
      </c>
    </row>
    <row r="55" spans="1:10">
      <c r="A55" s="17" t="s">
        <v>123</v>
      </c>
      <c r="B55" s="17" t="s">
        <v>124</v>
      </c>
      <c r="C55" s="17">
        <v>12</v>
      </c>
      <c r="D55" s="17" t="s">
        <v>20</v>
      </c>
      <c r="E55" s="17" t="s">
        <v>21</v>
      </c>
      <c r="F55" s="18">
        <v>0.31919999999999998</v>
      </c>
      <c r="G55" s="17" t="str">
        <f>IF(COUNTIFS('Question-Article-Match'!$A:$A,A55,'Question-Article-Match'!$C:$C,C55,'Question-Article-Match'!$F:$F,"direct match")&gt;0,"direct match",IF(COUNTIFS('Question-Article-Match'!$A:$A,A55,'Question-Article-Match'!$C:$C,C55,'Question-Article-Match'!$F:$F,"indirect match")&gt;0,"indirect match","no match"))</f>
        <v>no match</v>
      </c>
      <c r="H55" s="17">
        <f t="shared" si="0"/>
        <v>0</v>
      </c>
      <c r="I55" s="17">
        <f t="shared" si="1"/>
        <v>0</v>
      </c>
      <c r="J55" s="17" t="str">
        <f t="shared" si="2"/>
        <v>TN</v>
      </c>
    </row>
    <row r="56" spans="1:10">
      <c r="A56" s="17" t="s">
        <v>123</v>
      </c>
      <c r="B56" s="17" t="s">
        <v>124</v>
      </c>
      <c r="C56" s="17">
        <v>13</v>
      </c>
      <c r="D56" s="17" t="s">
        <v>34</v>
      </c>
      <c r="E56" s="17" t="s">
        <v>35</v>
      </c>
      <c r="F56" s="18">
        <v>0.17430000000000001</v>
      </c>
      <c r="G56" s="17" t="str">
        <f>IF(COUNTIFS('Question-Article-Match'!$A:$A,A56,'Question-Article-Match'!$C:$C,C56,'Question-Article-Match'!$F:$F,"direct match")&gt;0,"direct match",IF(COUNTIFS('Question-Article-Match'!$A:$A,A56,'Question-Article-Match'!$C:$C,C56,'Question-Article-Match'!$F:$F,"indirect match")&gt;0,"indirect match","no match"))</f>
        <v>no match</v>
      </c>
      <c r="H56" s="17">
        <f t="shared" si="0"/>
        <v>0</v>
      </c>
      <c r="I56" s="17">
        <f t="shared" si="1"/>
        <v>0</v>
      </c>
      <c r="J56" s="17" t="str">
        <f t="shared" si="2"/>
        <v>TN</v>
      </c>
    </row>
    <row r="57" spans="1:10">
      <c r="A57" s="17" t="s">
        <v>123</v>
      </c>
      <c r="B57" s="17" t="s">
        <v>124</v>
      </c>
      <c r="C57" s="17">
        <v>14</v>
      </c>
      <c r="D57" s="17" t="s">
        <v>16</v>
      </c>
      <c r="E57" s="17" t="s">
        <v>17</v>
      </c>
      <c r="F57" s="18">
        <v>0.42949999999999999</v>
      </c>
      <c r="G57" s="17" t="str">
        <f>IF(COUNTIFS('Question-Article-Match'!$A:$A,A57,'Question-Article-Match'!$C:$C,C57,'Question-Article-Match'!$F:$F,"direct match")&gt;0,"direct match",IF(COUNTIFS('Question-Article-Match'!$A:$A,A57,'Question-Article-Match'!$C:$C,C57,'Question-Article-Match'!$F:$F,"indirect match")&gt;0,"indirect match","no match"))</f>
        <v>no match</v>
      </c>
      <c r="H57" s="17">
        <f t="shared" si="0"/>
        <v>0</v>
      </c>
      <c r="I57" s="17">
        <f t="shared" si="1"/>
        <v>1</v>
      </c>
      <c r="J57" s="17" t="str">
        <f t="shared" si="2"/>
        <v>FP</v>
      </c>
    </row>
    <row r="58" spans="1:10">
      <c r="A58" s="17" t="s">
        <v>123</v>
      </c>
      <c r="B58" s="17" t="s">
        <v>124</v>
      </c>
      <c r="C58" s="17">
        <v>15</v>
      </c>
      <c r="D58" s="17" t="s">
        <v>42</v>
      </c>
      <c r="E58" s="17" t="s">
        <v>43</v>
      </c>
      <c r="F58" s="18">
        <v>0.16370000000000001</v>
      </c>
      <c r="G58" s="17" t="str">
        <f>IF(COUNTIFS('Question-Article-Match'!$A:$A,A58,'Question-Article-Match'!$C:$C,C58,'Question-Article-Match'!$F:$F,"direct match")&gt;0,"direct match",IF(COUNTIFS('Question-Article-Match'!$A:$A,A58,'Question-Article-Match'!$C:$C,C58,'Question-Article-Match'!$F:$F,"indirect match")&gt;0,"indirect match","no match"))</f>
        <v>no match</v>
      </c>
      <c r="H58" s="17">
        <f t="shared" si="0"/>
        <v>0</v>
      </c>
      <c r="I58" s="17">
        <f t="shared" si="1"/>
        <v>0</v>
      </c>
      <c r="J58" s="17" t="str">
        <f t="shared" si="2"/>
        <v>TN</v>
      </c>
    </row>
    <row r="59" spans="1:10">
      <c r="A59" s="17" t="s">
        <v>123</v>
      </c>
      <c r="B59" s="17" t="s">
        <v>124</v>
      </c>
      <c r="C59" s="17">
        <v>16</v>
      </c>
      <c r="D59" s="17" t="s">
        <v>12</v>
      </c>
      <c r="E59" s="17" t="s">
        <v>13</v>
      </c>
      <c r="F59" s="18">
        <v>0.49890000000000001</v>
      </c>
      <c r="G59" s="17" t="str">
        <f>IF(COUNTIFS('Question-Article-Match'!$A:$A,A59,'Question-Article-Match'!$C:$C,C59,'Question-Article-Match'!$F:$F,"direct match")&gt;0,"direct match",IF(COUNTIFS('Question-Article-Match'!$A:$A,A59,'Question-Article-Match'!$C:$C,C59,'Question-Article-Match'!$F:$F,"indirect match")&gt;0,"indirect match","no match"))</f>
        <v>no match</v>
      </c>
      <c r="H59" s="17">
        <f t="shared" si="0"/>
        <v>0</v>
      </c>
      <c r="I59" s="17">
        <f t="shared" si="1"/>
        <v>1</v>
      </c>
      <c r="J59" s="17" t="str">
        <f t="shared" si="2"/>
        <v>FP</v>
      </c>
    </row>
    <row r="60" spans="1:10">
      <c r="A60" s="17" t="s">
        <v>123</v>
      </c>
      <c r="B60" s="17" t="s">
        <v>124</v>
      </c>
      <c r="C60" s="17">
        <v>17</v>
      </c>
      <c r="D60" s="17" t="s">
        <v>108</v>
      </c>
      <c r="E60" s="17" t="s">
        <v>109</v>
      </c>
      <c r="F60" s="18">
        <v>5.5E-2</v>
      </c>
      <c r="G60" s="17" t="str">
        <f>IF(COUNTIFS('Question-Article-Match'!$A:$A,A60,'Question-Article-Match'!$C:$C,C60,'Question-Article-Match'!$F:$F,"direct match")&gt;0,"direct match",IF(COUNTIFS('Question-Article-Match'!$A:$A,A60,'Question-Article-Match'!$C:$C,C60,'Question-Article-Match'!$F:$F,"indirect match")&gt;0,"indirect match","no match"))</f>
        <v>no match</v>
      </c>
      <c r="H60" s="17">
        <f t="shared" si="0"/>
        <v>0</v>
      </c>
      <c r="I60" s="17">
        <f t="shared" si="1"/>
        <v>0</v>
      </c>
      <c r="J60" s="17" t="str">
        <f t="shared" si="2"/>
        <v>TN</v>
      </c>
    </row>
    <row r="61" spans="1:10">
      <c r="A61" s="17" t="s">
        <v>123</v>
      </c>
      <c r="B61" s="17" t="s">
        <v>124</v>
      </c>
      <c r="C61" s="17">
        <v>18</v>
      </c>
      <c r="D61" s="17" t="s">
        <v>24</v>
      </c>
      <c r="E61" s="17" t="s">
        <v>25</v>
      </c>
      <c r="F61" s="18">
        <v>0.32240000000000002</v>
      </c>
      <c r="G61" s="17" t="str">
        <f>IF(COUNTIFS('Question-Article-Match'!$A:$A,A61,'Question-Article-Match'!$C:$C,C61,'Question-Article-Match'!$F:$F,"direct match")&gt;0,"direct match",IF(COUNTIFS('Question-Article-Match'!$A:$A,A61,'Question-Article-Match'!$C:$C,C61,'Question-Article-Match'!$F:$F,"indirect match")&gt;0,"indirect match","no match"))</f>
        <v>no match</v>
      </c>
      <c r="H61" s="17">
        <f t="shared" si="0"/>
        <v>0</v>
      </c>
      <c r="I61" s="17">
        <f t="shared" si="1"/>
        <v>0</v>
      </c>
      <c r="J61" s="17" t="str">
        <f t="shared" si="2"/>
        <v>TN</v>
      </c>
    </row>
    <row r="62" spans="1:10">
      <c r="A62" s="17" t="s">
        <v>123</v>
      </c>
      <c r="B62" s="17" t="s">
        <v>124</v>
      </c>
      <c r="C62" s="17">
        <v>19</v>
      </c>
      <c r="D62" s="17" t="s">
        <v>14</v>
      </c>
      <c r="E62" s="17" t="s">
        <v>15</v>
      </c>
      <c r="F62" s="18">
        <v>0.44330000000000003</v>
      </c>
      <c r="G62" s="17" t="str">
        <f>IF(COUNTIFS('Question-Article-Match'!$A:$A,A62,'Question-Article-Match'!$C:$C,C62,'Question-Article-Match'!$F:$F,"direct match")&gt;0,"direct match",IF(COUNTIFS('Question-Article-Match'!$A:$A,A62,'Question-Article-Match'!$C:$C,C62,'Question-Article-Match'!$F:$F,"indirect match")&gt;0,"indirect match","no match"))</f>
        <v>no match</v>
      </c>
      <c r="H62" s="17">
        <f t="shared" si="0"/>
        <v>0</v>
      </c>
      <c r="I62" s="17">
        <f t="shared" si="1"/>
        <v>1</v>
      </c>
      <c r="J62" s="17" t="str">
        <f t="shared" si="2"/>
        <v>FP</v>
      </c>
    </row>
    <row r="63" spans="1:10">
      <c r="A63" s="17" t="s">
        <v>123</v>
      </c>
      <c r="B63" s="17" t="s">
        <v>124</v>
      </c>
      <c r="C63" s="17">
        <v>20</v>
      </c>
      <c r="D63" s="17" t="s">
        <v>113</v>
      </c>
      <c r="E63" s="17" t="s">
        <v>114</v>
      </c>
      <c r="F63" s="18">
        <v>6.1600000000000002E-2</v>
      </c>
      <c r="G63" s="17" t="str">
        <f>IF(COUNTIFS('Question-Article-Match'!$A:$A,A63,'Question-Article-Match'!$C:$C,C63,'Question-Article-Match'!$F:$F,"direct match")&gt;0,"direct match",IF(COUNTIFS('Question-Article-Match'!$A:$A,A63,'Question-Article-Match'!$C:$C,C63,'Question-Article-Match'!$F:$F,"indirect match")&gt;0,"indirect match","no match"))</f>
        <v>no match</v>
      </c>
      <c r="H63" s="17">
        <f t="shared" si="0"/>
        <v>0</v>
      </c>
      <c r="I63" s="17">
        <f t="shared" si="1"/>
        <v>0</v>
      </c>
      <c r="J63" s="17" t="str">
        <f t="shared" si="2"/>
        <v>TN</v>
      </c>
    </row>
    <row r="64" spans="1:10">
      <c r="A64" s="17" t="s">
        <v>123</v>
      </c>
      <c r="B64" s="17" t="s">
        <v>124</v>
      </c>
      <c r="C64" s="17">
        <v>21</v>
      </c>
      <c r="D64" s="17" t="s">
        <v>46</v>
      </c>
      <c r="E64" s="17" t="s">
        <v>47</v>
      </c>
      <c r="F64" s="18">
        <v>0.1016</v>
      </c>
      <c r="G64" s="17" t="str">
        <f>IF(COUNTIFS('Question-Article-Match'!$A:$A,A64,'Question-Article-Match'!$C:$C,C64,'Question-Article-Match'!$F:$F,"direct match")&gt;0,"direct match",IF(COUNTIFS('Question-Article-Match'!$A:$A,A64,'Question-Article-Match'!$C:$C,C64,'Question-Article-Match'!$F:$F,"indirect match")&gt;0,"indirect match","no match"))</f>
        <v>no match</v>
      </c>
      <c r="H64" s="17">
        <f t="shared" si="0"/>
        <v>0</v>
      </c>
      <c r="I64" s="17">
        <f t="shared" si="1"/>
        <v>0</v>
      </c>
      <c r="J64" s="17" t="str">
        <f t="shared" si="2"/>
        <v>TN</v>
      </c>
    </row>
    <row r="65" spans="1:10">
      <c r="A65" s="17" t="s">
        <v>126</v>
      </c>
      <c r="B65" s="17" t="s">
        <v>127</v>
      </c>
      <c r="C65" s="17">
        <v>1</v>
      </c>
      <c r="D65" s="17" t="s">
        <v>22</v>
      </c>
      <c r="E65" s="17" t="s">
        <v>23</v>
      </c>
      <c r="F65" s="18">
        <v>0.80059999999999998</v>
      </c>
      <c r="G65" s="17" t="str">
        <f>IF(COUNTIFS('Question-Article-Match'!$A:$A,A65,'Question-Article-Match'!$C:$C,C65,'Question-Article-Match'!$F:$F,"direct match")&gt;0,"direct match",IF(COUNTIFS('Question-Article-Match'!$A:$A,A65,'Question-Article-Match'!$C:$C,C65,'Question-Article-Match'!$F:$F,"indirect match")&gt;0,"indirect match","no match"))</f>
        <v>direct match</v>
      </c>
      <c r="H65" s="17">
        <f t="shared" si="0"/>
        <v>1</v>
      </c>
      <c r="I65" s="17">
        <f t="shared" si="1"/>
        <v>1</v>
      </c>
      <c r="J65" s="17" t="str">
        <f t="shared" si="2"/>
        <v>TP</v>
      </c>
    </row>
    <row r="66" spans="1:10">
      <c r="A66" s="17" t="s">
        <v>126</v>
      </c>
      <c r="B66" s="17" t="s">
        <v>127</v>
      </c>
      <c r="C66" s="17">
        <v>2</v>
      </c>
      <c r="D66" s="17" t="s">
        <v>18</v>
      </c>
      <c r="E66" s="17" t="s">
        <v>19</v>
      </c>
      <c r="F66" s="18">
        <v>0.72440000000000004</v>
      </c>
      <c r="G66" s="17" t="str">
        <f>IF(COUNTIFS('Question-Article-Match'!$A:$A,A66,'Question-Article-Match'!$C:$C,C66,'Question-Article-Match'!$F:$F,"direct match")&gt;0,"direct match",IF(COUNTIFS('Question-Article-Match'!$A:$A,A66,'Question-Article-Match'!$C:$C,C66,'Question-Article-Match'!$F:$F,"indirect match")&gt;0,"indirect match","no match"))</f>
        <v>direct match</v>
      </c>
      <c r="H66" s="17">
        <f t="shared" ref="H66:H129" si="11">IF(G66="no match",0,1)</f>
        <v>1</v>
      </c>
      <c r="I66" s="17">
        <f t="shared" ref="I66:I129" si="12">IF(F66&gt;=$N$2,1,0)</f>
        <v>1</v>
      </c>
      <c r="J66" s="17" t="str">
        <f t="shared" ref="J66:J129" si="13">IF(AND(H66=1,I66=1),"TP",IF(AND(H66=0,I66=1),"FP",IF(H66=1,"FN","TN")))</f>
        <v>TP</v>
      </c>
    </row>
    <row r="67" spans="1:10">
      <c r="A67" s="17" t="s">
        <v>126</v>
      </c>
      <c r="B67" s="17" t="s">
        <v>127</v>
      </c>
      <c r="C67" s="17">
        <v>3</v>
      </c>
      <c r="D67" s="17" t="s">
        <v>26</v>
      </c>
      <c r="E67" s="17" t="s">
        <v>27</v>
      </c>
      <c r="F67" s="18">
        <v>0.43830000000000002</v>
      </c>
      <c r="G67" s="17" t="str">
        <f>IF(COUNTIFS('Question-Article-Match'!$A:$A,A67,'Question-Article-Match'!$C:$C,C67,'Question-Article-Match'!$F:$F,"direct match")&gt;0,"direct match",IF(COUNTIFS('Question-Article-Match'!$A:$A,A67,'Question-Article-Match'!$C:$C,C67,'Question-Article-Match'!$F:$F,"indirect match")&gt;0,"indirect match","no match"))</f>
        <v>no match</v>
      </c>
      <c r="H67" s="17">
        <f t="shared" si="11"/>
        <v>0</v>
      </c>
      <c r="I67" s="17">
        <f t="shared" si="12"/>
        <v>1</v>
      </c>
      <c r="J67" s="17" t="str">
        <f t="shared" si="13"/>
        <v>FP</v>
      </c>
    </row>
    <row r="68" spans="1:10">
      <c r="A68" s="17" t="s">
        <v>126</v>
      </c>
      <c r="B68" s="17" t="s">
        <v>127</v>
      </c>
      <c r="C68" s="17">
        <v>4</v>
      </c>
      <c r="D68" s="17" t="s">
        <v>64</v>
      </c>
      <c r="E68" s="17" t="s">
        <v>65</v>
      </c>
      <c r="F68" s="18">
        <v>-1.9099999999999999E-2</v>
      </c>
      <c r="G68" s="17" t="str">
        <f>IF(COUNTIFS('Question-Article-Match'!$A:$A,A68,'Question-Article-Match'!$C:$C,C68,'Question-Article-Match'!$F:$F,"direct match")&gt;0,"direct match",IF(COUNTIFS('Question-Article-Match'!$A:$A,A68,'Question-Article-Match'!$C:$C,C68,'Question-Article-Match'!$F:$F,"indirect match")&gt;0,"indirect match","no match"))</f>
        <v>no match</v>
      </c>
      <c r="H68" s="17">
        <f t="shared" si="11"/>
        <v>0</v>
      </c>
      <c r="I68" s="17">
        <f t="shared" si="12"/>
        <v>0</v>
      </c>
      <c r="J68" s="17" t="str">
        <f t="shared" si="13"/>
        <v>TN</v>
      </c>
    </row>
    <row r="69" spans="1:10">
      <c r="A69" s="17" t="s">
        <v>126</v>
      </c>
      <c r="B69" s="17" t="s">
        <v>127</v>
      </c>
      <c r="C69" s="17">
        <v>5</v>
      </c>
      <c r="D69" s="17" t="s">
        <v>36</v>
      </c>
      <c r="E69" s="17" t="s">
        <v>37</v>
      </c>
      <c r="F69" s="18">
        <v>0.1303</v>
      </c>
      <c r="G69" s="17" t="str">
        <f>IF(COUNTIFS('Question-Article-Match'!$A:$A,A69,'Question-Article-Match'!$C:$C,C69,'Question-Article-Match'!$F:$F,"direct match")&gt;0,"direct match",IF(COUNTIFS('Question-Article-Match'!$A:$A,A69,'Question-Article-Match'!$C:$C,C69,'Question-Article-Match'!$F:$F,"indirect match")&gt;0,"indirect match","no match"))</f>
        <v>no match</v>
      </c>
      <c r="H69" s="17">
        <f t="shared" si="11"/>
        <v>0</v>
      </c>
      <c r="I69" s="17">
        <f t="shared" si="12"/>
        <v>0</v>
      </c>
      <c r="J69" s="17" t="str">
        <f t="shared" si="13"/>
        <v>TN</v>
      </c>
    </row>
    <row r="70" spans="1:10">
      <c r="A70" s="17" t="s">
        <v>126</v>
      </c>
      <c r="B70" s="17" t="s">
        <v>127</v>
      </c>
      <c r="C70" s="17">
        <v>6</v>
      </c>
      <c r="D70" s="17" t="s">
        <v>28</v>
      </c>
      <c r="E70" s="17" t="s">
        <v>29</v>
      </c>
      <c r="F70" s="18">
        <v>9.4399999999999998E-2</v>
      </c>
      <c r="G70" s="17" t="str">
        <f>IF(COUNTIFS('Question-Article-Match'!$A:$A,A70,'Question-Article-Match'!$C:$C,C70,'Question-Article-Match'!$F:$F,"direct match")&gt;0,"direct match",IF(COUNTIFS('Question-Article-Match'!$A:$A,A70,'Question-Article-Match'!$C:$C,C70,'Question-Article-Match'!$F:$F,"indirect match")&gt;0,"indirect match","no match"))</f>
        <v>no match</v>
      </c>
      <c r="H70" s="17">
        <f t="shared" si="11"/>
        <v>0</v>
      </c>
      <c r="I70" s="17">
        <f t="shared" si="12"/>
        <v>0</v>
      </c>
      <c r="J70" s="17" t="str">
        <f t="shared" si="13"/>
        <v>TN</v>
      </c>
    </row>
    <row r="71" spans="1:10">
      <c r="A71" s="17" t="s">
        <v>126</v>
      </c>
      <c r="B71" s="17" t="s">
        <v>127</v>
      </c>
      <c r="C71" s="17">
        <v>7</v>
      </c>
      <c r="D71" s="17" t="s">
        <v>75</v>
      </c>
      <c r="E71" s="17" t="s">
        <v>76</v>
      </c>
      <c r="F71" s="18">
        <v>0.1033</v>
      </c>
      <c r="G71" s="17" t="str">
        <f>IF(COUNTIFS('Question-Article-Match'!$A:$A,A71,'Question-Article-Match'!$C:$C,C71,'Question-Article-Match'!$F:$F,"direct match")&gt;0,"direct match",IF(COUNTIFS('Question-Article-Match'!$A:$A,A71,'Question-Article-Match'!$C:$C,C71,'Question-Article-Match'!$F:$F,"indirect match")&gt;0,"indirect match","no match"))</f>
        <v>no match</v>
      </c>
      <c r="H71" s="17">
        <f t="shared" si="11"/>
        <v>0</v>
      </c>
      <c r="I71" s="17">
        <f t="shared" si="12"/>
        <v>0</v>
      </c>
      <c r="J71" s="17" t="str">
        <f t="shared" si="13"/>
        <v>TN</v>
      </c>
    </row>
    <row r="72" spans="1:10">
      <c r="A72" s="17" t="s">
        <v>126</v>
      </c>
      <c r="B72" s="17" t="s">
        <v>127</v>
      </c>
      <c r="C72" s="17">
        <v>8</v>
      </c>
      <c r="D72" s="17" t="s">
        <v>40</v>
      </c>
      <c r="E72" s="17" t="s">
        <v>41</v>
      </c>
      <c r="F72" s="18">
        <v>8.6699999999999999E-2</v>
      </c>
      <c r="G72" s="17" t="str">
        <f>IF(COUNTIFS('Question-Article-Match'!$A:$A,A72,'Question-Article-Match'!$C:$C,C72,'Question-Article-Match'!$F:$F,"direct match")&gt;0,"direct match",IF(COUNTIFS('Question-Article-Match'!$A:$A,A72,'Question-Article-Match'!$C:$C,C72,'Question-Article-Match'!$F:$F,"indirect match")&gt;0,"indirect match","no match"))</f>
        <v>no match</v>
      </c>
      <c r="H72" s="17">
        <f t="shared" si="11"/>
        <v>0</v>
      </c>
      <c r="I72" s="17">
        <f t="shared" si="12"/>
        <v>0</v>
      </c>
      <c r="J72" s="17" t="str">
        <f t="shared" si="13"/>
        <v>TN</v>
      </c>
    </row>
    <row r="73" spans="1:10">
      <c r="A73" s="17" t="s">
        <v>126</v>
      </c>
      <c r="B73" s="17" t="s">
        <v>127</v>
      </c>
      <c r="C73" s="17">
        <v>9</v>
      </c>
      <c r="D73" s="17" t="s">
        <v>10</v>
      </c>
      <c r="E73" s="17" t="s">
        <v>11</v>
      </c>
      <c r="F73" s="18">
        <v>0.24160000000000001</v>
      </c>
      <c r="G73" s="17" t="str">
        <f>IF(COUNTIFS('Question-Article-Match'!$A:$A,A73,'Question-Article-Match'!$C:$C,C73,'Question-Article-Match'!$F:$F,"direct match")&gt;0,"direct match",IF(COUNTIFS('Question-Article-Match'!$A:$A,A73,'Question-Article-Match'!$C:$C,C73,'Question-Article-Match'!$F:$F,"indirect match")&gt;0,"indirect match","no match"))</f>
        <v>no match</v>
      </c>
      <c r="H73" s="17">
        <f t="shared" si="11"/>
        <v>0</v>
      </c>
      <c r="I73" s="17">
        <f t="shared" si="12"/>
        <v>0</v>
      </c>
      <c r="J73" s="17" t="str">
        <f t="shared" si="13"/>
        <v>TN</v>
      </c>
    </row>
    <row r="74" spans="1:10">
      <c r="A74" s="17" t="s">
        <v>126</v>
      </c>
      <c r="B74" s="17" t="s">
        <v>127</v>
      </c>
      <c r="C74" s="17">
        <v>10</v>
      </c>
      <c r="D74" s="17" t="s">
        <v>32</v>
      </c>
      <c r="E74" s="17" t="s">
        <v>33</v>
      </c>
      <c r="F74" s="18">
        <v>0.19650000000000001</v>
      </c>
      <c r="G74" s="17" t="str">
        <f>IF(COUNTIFS('Question-Article-Match'!$A:$A,A74,'Question-Article-Match'!$C:$C,C74,'Question-Article-Match'!$F:$F,"direct match")&gt;0,"direct match",IF(COUNTIFS('Question-Article-Match'!$A:$A,A74,'Question-Article-Match'!$C:$C,C74,'Question-Article-Match'!$F:$F,"indirect match")&gt;0,"indirect match","no match"))</f>
        <v>no match</v>
      </c>
      <c r="H74" s="17">
        <f t="shared" si="11"/>
        <v>0</v>
      </c>
      <c r="I74" s="17">
        <f t="shared" si="12"/>
        <v>0</v>
      </c>
      <c r="J74" s="17" t="str">
        <f t="shared" si="13"/>
        <v>TN</v>
      </c>
    </row>
    <row r="75" spans="1:10">
      <c r="A75" s="17" t="s">
        <v>126</v>
      </c>
      <c r="B75" s="17" t="s">
        <v>127</v>
      </c>
      <c r="C75" s="17">
        <v>11</v>
      </c>
      <c r="D75" s="17" t="s">
        <v>89</v>
      </c>
      <c r="E75" s="17" t="s">
        <v>90</v>
      </c>
      <c r="F75" s="18">
        <v>3.7400000000000003E-2</v>
      </c>
      <c r="G75" s="17" t="str">
        <f>IF(COUNTIFS('Question-Article-Match'!$A:$A,A75,'Question-Article-Match'!$C:$C,C75,'Question-Article-Match'!$F:$F,"direct match")&gt;0,"direct match",IF(COUNTIFS('Question-Article-Match'!$A:$A,A75,'Question-Article-Match'!$C:$C,C75,'Question-Article-Match'!$F:$F,"indirect match")&gt;0,"indirect match","no match"))</f>
        <v>no match</v>
      </c>
      <c r="H75" s="17">
        <f t="shared" si="11"/>
        <v>0</v>
      </c>
      <c r="I75" s="17">
        <f t="shared" si="12"/>
        <v>0</v>
      </c>
      <c r="J75" s="17" t="str">
        <f t="shared" si="13"/>
        <v>TN</v>
      </c>
    </row>
    <row r="76" spans="1:10">
      <c r="A76" s="17" t="s">
        <v>126</v>
      </c>
      <c r="B76" s="17" t="s">
        <v>127</v>
      </c>
      <c r="C76" s="17">
        <v>12</v>
      </c>
      <c r="D76" s="17" t="s">
        <v>20</v>
      </c>
      <c r="E76" s="17" t="s">
        <v>21</v>
      </c>
      <c r="F76" s="18">
        <v>0.19259999999999999</v>
      </c>
      <c r="G76" s="17" t="str">
        <f>IF(COUNTIFS('Question-Article-Match'!$A:$A,A76,'Question-Article-Match'!$C:$C,C76,'Question-Article-Match'!$F:$F,"direct match")&gt;0,"direct match",IF(COUNTIFS('Question-Article-Match'!$A:$A,A76,'Question-Article-Match'!$C:$C,C76,'Question-Article-Match'!$F:$F,"indirect match")&gt;0,"indirect match","no match"))</f>
        <v>no match</v>
      </c>
      <c r="H76" s="17">
        <f t="shared" si="11"/>
        <v>0</v>
      </c>
      <c r="I76" s="17">
        <f t="shared" si="12"/>
        <v>0</v>
      </c>
      <c r="J76" s="17" t="str">
        <f t="shared" si="13"/>
        <v>TN</v>
      </c>
    </row>
    <row r="77" spans="1:10">
      <c r="A77" s="17" t="s">
        <v>126</v>
      </c>
      <c r="B77" s="17" t="s">
        <v>127</v>
      </c>
      <c r="C77" s="17">
        <v>13</v>
      </c>
      <c r="D77" s="17" t="s">
        <v>34</v>
      </c>
      <c r="E77" s="17" t="s">
        <v>35</v>
      </c>
      <c r="F77" s="18">
        <v>0.25590000000000002</v>
      </c>
      <c r="G77" s="17" t="str">
        <f>IF(COUNTIFS('Question-Article-Match'!$A:$A,A77,'Question-Article-Match'!$C:$C,C77,'Question-Article-Match'!$F:$F,"direct match")&gt;0,"direct match",IF(COUNTIFS('Question-Article-Match'!$A:$A,A77,'Question-Article-Match'!$C:$C,C77,'Question-Article-Match'!$F:$F,"indirect match")&gt;0,"indirect match","no match"))</f>
        <v>no match</v>
      </c>
      <c r="H77" s="17">
        <f t="shared" si="11"/>
        <v>0</v>
      </c>
      <c r="I77" s="17">
        <f t="shared" si="12"/>
        <v>0</v>
      </c>
      <c r="J77" s="17" t="str">
        <f t="shared" si="13"/>
        <v>TN</v>
      </c>
    </row>
    <row r="78" spans="1:10">
      <c r="A78" s="17" t="s">
        <v>126</v>
      </c>
      <c r="B78" s="17" t="s">
        <v>127</v>
      </c>
      <c r="C78" s="17">
        <v>14</v>
      </c>
      <c r="D78" s="17" t="s">
        <v>16</v>
      </c>
      <c r="E78" s="17" t="s">
        <v>17</v>
      </c>
      <c r="F78" s="18">
        <v>0.42809999999999998</v>
      </c>
      <c r="G78" s="17" t="str">
        <f>IF(COUNTIFS('Question-Article-Match'!$A:$A,A78,'Question-Article-Match'!$C:$C,C78,'Question-Article-Match'!$F:$F,"direct match")&gt;0,"direct match",IF(COUNTIFS('Question-Article-Match'!$A:$A,A78,'Question-Article-Match'!$C:$C,C78,'Question-Article-Match'!$F:$F,"indirect match")&gt;0,"indirect match","no match"))</f>
        <v>no match</v>
      </c>
      <c r="H78" s="17">
        <f t="shared" si="11"/>
        <v>0</v>
      </c>
      <c r="I78" s="17">
        <f t="shared" si="12"/>
        <v>1</v>
      </c>
      <c r="J78" s="17" t="str">
        <f t="shared" si="13"/>
        <v>FP</v>
      </c>
    </row>
    <row r="79" spans="1:10">
      <c r="A79" s="17" t="s">
        <v>126</v>
      </c>
      <c r="B79" s="17" t="s">
        <v>127</v>
      </c>
      <c r="C79" s="17">
        <v>15</v>
      </c>
      <c r="D79" s="17" t="s">
        <v>42</v>
      </c>
      <c r="E79" s="17" t="s">
        <v>43</v>
      </c>
      <c r="F79" s="18">
        <v>0.18579999999999999</v>
      </c>
      <c r="G79" s="17" t="str">
        <f>IF(COUNTIFS('Question-Article-Match'!$A:$A,A79,'Question-Article-Match'!$C:$C,C79,'Question-Article-Match'!$F:$F,"direct match")&gt;0,"direct match",IF(COUNTIFS('Question-Article-Match'!$A:$A,A79,'Question-Article-Match'!$C:$C,C79,'Question-Article-Match'!$F:$F,"indirect match")&gt;0,"indirect match","no match"))</f>
        <v>no match</v>
      </c>
      <c r="H79" s="17">
        <f t="shared" si="11"/>
        <v>0</v>
      </c>
      <c r="I79" s="17">
        <f t="shared" si="12"/>
        <v>0</v>
      </c>
      <c r="J79" s="17" t="str">
        <f t="shared" si="13"/>
        <v>TN</v>
      </c>
    </row>
    <row r="80" spans="1:10">
      <c r="A80" s="17" t="s">
        <v>126</v>
      </c>
      <c r="B80" s="17" t="s">
        <v>127</v>
      </c>
      <c r="C80" s="17">
        <v>16</v>
      </c>
      <c r="D80" s="17" t="s">
        <v>12</v>
      </c>
      <c r="E80" s="17" t="s">
        <v>13</v>
      </c>
      <c r="F80" s="18">
        <v>0.26840000000000003</v>
      </c>
      <c r="G80" s="17" t="str">
        <f>IF(COUNTIFS('Question-Article-Match'!$A:$A,A80,'Question-Article-Match'!$C:$C,C80,'Question-Article-Match'!$F:$F,"direct match")&gt;0,"direct match",IF(COUNTIFS('Question-Article-Match'!$A:$A,A80,'Question-Article-Match'!$C:$C,C80,'Question-Article-Match'!$F:$F,"indirect match")&gt;0,"indirect match","no match"))</f>
        <v>no match</v>
      </c>
      <c r="H80" s="17">
        <f t="shared" si="11"/>
        <v>0</v>
      </c>
      <c r="I80" s="17">
        <f t="shared" si="12"/>
        <v>0</v>
      </c>
      <c r="J80" s="17" t="str">
        <f t="shared" si="13"/>
        <v>TN</v>
      </c>
    </row>
    <row r="81" spans="1:10">
      <c r="A81" s="17" t="s">
        <v>126</v>
      </c>
      <c r="B81" s="17" t="s">
        <v>127</v>
      </c>
      <c r="C81" s="17">
        <v>17</v>
      </c>
      <c r="D81" s="17" t="s">
        <v>108</v>
      </c>
      <c r="E81" s="17" t="s">
        <v>109</v>
      </c>
      <c r="F81" s="18">
        <v>0.33200000000000002</v>
      </c>
      <c r="G81" s="17" t="str">
        <f>IF(COUNTIFS('Question-Article-Match'!$A:$A,A81,'Question-Article-Match'!$C:$C,C81,'Question-Article-Match'!$F:$F,"direct match")&gt;0,"direct match",IF(COUNTIFS('Question-Article-Match'!$A:$A,A81,'Question-Article-Match'!$C:$C,C81,'Question-Article-Match'!$F:$F,"indirect match")&gt;0,"indirect match","no match"))</f>
        <v>no match</v>
      </c>
      <c r="H81" s="17">
        <f t="shared" si="11"/>
        <v>0</v>
      </c>
      <c r="I81" s="17">
        <f t="shared" si="12"/>
        <v>0</v>
      </c>
      <c r="J81" s="17" t="str">
        <f t="shared" si="13"/>
        <v>TN</v>
      </c>
    </row>
    <row r="82" spans="1:10">
      <c r="A82" s="17" t="s">
        <v>126</v>
      </c>
      <c r="B82" s="17" t="s">
        <v>127</v>
      </c>
      <c r="C82" s="17">
        <v>18</v>
      </c>
      <c r="D82" s="17" t="s">
        <v>24</v>
      </c>
      <c r="E82" s="17" t="s">
        <v>25</v>
      </c>
      <c r="F82" s="18">
        <v>0.33910000000000001</v>
      </c>
      <c r="G82" s="17" t="str">
        <f>IF(COUNTIFS('Question-Article-Match'!$A:$A,A82,'Question-Article-Match'!$C:$C,C82,'Question-Article-Match'!$F:$F,"direct match")&gt;0,"direct match",IF(COUNTIFS('Question-Article-Match'!$A:$A,A82,'Question-Article-Match'!$C:$C,C82,'Question-Article-Match'!$F:$F,"indirect match")&gt;0,"indirect match","no match"))</f>
        <v>no match</v>
      </c>
      <c r="H82" s="17">
        <f t="shared" si="11"/>
        <v>0</v>
      </c>
      <c r="I82" s="17">
        <f t="shared" si="12"/>
        <v>0</v>
      </c>
      <c r="J82" s="17" t="str">
        <f t="shared" si="13"/>
        <v>TN</v>
      </c>
    </row>
    <row r="83" spans="1:10">
      <c r="A83" s="17" t="s">
        <v>126</v>
      </c>
      <c r="B83" s="17" t="s">
        <v>127</v>
      </c>
      <c r="C83" s="17">
        <v>19</v>
      </c>
      <c r="D83" s="17" t="s">
        <v>14</v>
      </c>
      <c r="E83" s="17" t="s">
        <v>15</v>
      </c>
      <c r="F83" s="18">
        <v>0.15820000000000001</v>
      </c>
      <c r="G83" s="17" t="str">
        <f>IF(COUNTIFS('Question-Article-Match'!$A:$A,A83,'Question-Article-Match'!$C:$C,C83,'Question-Article-Match'!$F:$F,"direct match")&gt;0,"direct match",IF(COUNTIFS('Question-Article-Match'!$A:$A,A83,'Question-Article-Match'!$C:$C,C83,'Question-Article-Match'!$F:$F,"indirect match")&gt;0,"indirect match","no match"))</f>
        <v>no match</v>
      </c>
      <c r="H83" s="17">
        <f t="shared" si="11"/>
        <v>0</v>
      </c>
      <c r="I83" s="17">
        <f t="shared" si="12"/>
        <v>0</v>
      </c>
      <c r="J83" s="17" t="str">
        <f t="shared" si="13"/>
        <v>TN</v>
      </c>
    </row>
    <row r="84" spans="1:10">
      <c r="A84" s="17" t="s">
        <v>126</v>
      </c>
      <c r="B84" s="17" t="s">
        <v>127</v>
      </c>
      <c r="C84" s="17">
        <v>20</v>
      </c>
      <c r="D84" s="17" t="s">
        <v>113</v>
      </c>
      <c r="E84" s="17" t="s">
        <v>114</v>
      </c>
      <c r="F84" s="18">
        <v>9.7199999999999995E-2</v>
      </c>
      <c r="G84" s="17" t="str">
        <f>IF(COUNTIFS('Question-Article-Match'!$A:$A,A84,'Question-Article-Match'!$C:$C,C84,'Question-Article-Match'!$F:$F,"direct match")&gt;0,"direct match",IF(COUNTIFS('Question-Article-Match'!$A:$A,A84,'Question-Article-Match'!$C:$C,C84,'Question-Article-Match'!$F:$F,"indirect match")&gt;0,"indirect match","no match"))</f>
        <v>no match</v>
      </c>
      <c r="H84" s="17">
        <f t="shared" si="11"/>
        <v>0</v>
      </c>
      <c r="I84" s="17">
        <f t="shared" si="12"/>
        <v>0</v>
      </c>
      <c r="J84" s="17" t="str">
        <f t="shared" si="13"/>
        <v>TN</v>
      </c>
    </row>
    <row r="85" spans="1:10">
      <c r="A85" s="17" t="s">
        <v>126</v>
      </c>
      <c r="B85" s="17" t="s">
        <v>127</v>
      </c>
      <c r="C85" s="17">
        <v>21</v>
      </c>
      <c r="D85" s="17" t="s">
        <v>46</v>
      </c>
      <c r="E85" s="17" t="s">
        <v>47</v>
      </c>
      <c r="F85" s="18">
        <v>0.35420000000000001</v>
      </c>
      <c r="G85" s="17" t="str">
        <f>IF(COUNTIFS('Question-Article-Match'!$A:$A,A85,'Question-Article-Match'!$C:$C,C85,'Question-Article-Match'!$F:$F,"direct match")&gt;0,"direct match",IF(COUNTIFS('Question-Article-Match'!$A:$A,A85,'Question-Article-Match'!$C:$C,C85,'Question-Article-Match'!$F:$F,"indirect match")&gt;0,"indirect match","no match"))</f>
        <v>no match</v>
      </c>
      <c r="H85" s="17">
        <f t="shared" si="11"/>
        <v>0</v>
      </c>
      <c r="I85" s="17">
        <f t="shared" si="12"/>
        <v>1</v>
      </c>
      <c r="J85" s="17" t="str">
        <f t="shared" si="13"/>
        <v>FP</v>
      </c>
    </row>
    <row r="86" spans="1:10">
      <c r="A86" s="17" t="s">
        <v>129</v>
      </c>
      <c r="B86" s="17" t="s">
        <v>130</v>
      </c>
      <c r="C86" s="17">
        <v>1</v>
      </c>
      <c r="D86" s="17" t="s">
        <v>22</v>
      </c>
      <c r="E86" s="17" t="s">
        <v>23</v>
      </c>
      <c r="F86" s="18">
        <v>0.31459999999999999</v>
      </c>
      <c r="G86" s="17" t="str">
        <f>IF(COUNTIFS('Question-Article-Match'!$A:$A,A86,'Question-Article-Match'!$C:$C,C86,'Question-Article-Match'!$F:$F,"direct match")&gt;0,"direct match",IF(COUNTIFS('Question-Article-Match'!$A:$A,A86,'Question-Article-Match'!$C:$C,C86,'Question-Article-Match'!$F:$F,"indirect match")&gt;0,"indirect match","no match"))</f>
        <v>no match</v>
      </c>
      <c r="H86" s="17">
        <f t="shared" si="11"/>
        <v>0</v>
      </c>
      <c r="I86" s="17">
        <f t="shared" si="12"/>
        <v>0</v>
      </c>
      <c r="J86" s="17" t="str">
        <f t="shared" si="13"/>
        <v>TN</v>
      </c>
    </row>
    <row r="87" spans="1:10">
      <c r="A87" s="17" t="s">
        <v>129</v>
      </c>
      <c r="B87" s="17" t="s">
        <v>130</v>
      </c>
      <c r="C87" s="17">
        <v>2</v>
      </c>
      <c r="D87" s="17" t="s">
        <v>18</v>
      </c>
      <c r="E87" s="17" t="s">
        <v>19</v>
      </c>
      <c r="F87" s="18">
        <v>0.37169999999999997</v>
      </c>
      <c r="G87" s="17" t="str">
        <f>IF(COUNTIFS('Question-Article-Match'!$A:$A,A87,'Question-Article-Match'!$C:$C,C87,'Question-Article-Match'!$F:$F,"direct match")&gt;0,"direct match",IF(COUNTIFS('Question-Article-Match'!$A:$A,A87,'Question-Article-Match'!$C:$C,C87,'Question-Article-Match'!$F:$F,"indirect match")&gt;0,"indirect match","no match"))</f>
        <v>no match</v>
      </c>
      <c r="H87" s="17">
        <f t="shared" si="11"/>
        <v>0</v>
      </c>
      <c r="I87" s="17">
        <f t="shared" si="12"/>
        <v>1</v>
      </c>
      <c r="J87" s="17" t="str">
        <f t="shared" si="13"/>
        <v>FP</v>
      </c>
    </row>
    <row r="88" spans="1:10">
      <c r="A88" s="17" t="s">
        <v>129</v>
      </c>
      <c r="B88" s="17" t="s">
        <v>130</v>
      </c>
      <c r="C88" s="17">
        <v>3</v>
      </c>
      <c r="D88" s="17" t="s">
        <v>26</v>
      </c>
      <c r="E88" s="17" t="s">
        <v>27</v>
      </c>
      <c r="F88" s="18">
        <v>0.183</v>
      </c>
      <c r="G88" s="17" t="str">
        <f>IF(COUNTIFS('Question-Article-Match'!$A:$A,A88,'Question-Article-Match'!$C:$C,C88,'Question-Article-Match'!$F:$F,"direct match")&gt;0,"direct match",IF(COUNTIFS('Question-Article-Match'!$A:$A,A88,'Question-Article-Match'!$C:$C,C88,'Question-Article-Match'!$F:$F,"indirect match")&gt;0,"indirect match","no match"))</f>
        <v>no match</v>
      </c>
      <c r="H88" s="17">
        <f t="shared" si="11"/>
        <v>0</v>
      </c>
      <c r="I88" s="17">
        <f t="shared" si="12"/>
        <v>0</v>
      </c>
      <c r="J88" s="17" t="str">
        <f t="shared" si="13"/>
        <v>TN</v>
      </c>
    </row>
    <row r="89" spans="1:10">
      <c r="A89" s="17" t="s">
        <v>129</v>
      </c>
      <c r="B89" s="17" t="s">
        <v>130</v>
      </c>
      <c r="C89" s="17">
        <v>4</v>
      </c>
      <c r="D89" s="17" t="s">
        <v>64</v>
      </c>
      <c r="E89" s="17" t="s">
        <v>65</v>
      </c>
      <c r="F89" s="18">
        <v>0.1157</v>
      </c>
      <c r="G89" s="17" t="str">
        <f>IF(COUNTIFS('Question-Article-Match'!$A:$A,A89,'Question-Article-Match'!$C:$C,C89,'Question-Article-Match'!$F:$F,"direct match")&gt;0,"direct match",IF(COUNTIFS('Question-Article-Match'!$A:$A,A89,'Question-Article-Match'!$C:$C,C89,'Question-Article-Match'!$F:$F,"indirect match")&gt;0,"indirect match","no match"))</f>
        <v>no match</v>
      </c>
      <c r="H89" s="17">
        <f t="shared" si="11"/>
        <v>0</v>
      </c>
      <c r="I89" s="17">
        <f t="shared" si="12"/>
        <v>0</v>
      </c>
      <c r="J89" s="17" t="str">
        <f t="shared" si="13"/>
        <v>TN</v>
      </c>
    </row>
    <row r="90" spans="1:10">
      <c r="A90" s="17" t="s">
        <v>129</v>
      </c>
      <c r="B90" s="17" t="s">
        <v>130</v>
      </c>
      <c r="C90" s="17">
        <v>5</v>
      </c>
      <c r="D90" s="17" t="s">
        <v>36</v>
      </c>
      <c r="E90" s="17" t="s">
        <v>37</v>
      </c>
      <c r="F90" s="18">
        <v>0.38990000000000002</v>
      </c>
      <c r="G90" s="17" t="str">
        <f>IF(COUNTIFS('Question-Article-Match'!$A:$A,A90,'Question-Article-Match'!$C:$C,C90,'Question-Article-Match'!$F:$F,"direct match")&gt;0,"direct match",IF(COUNTIFS('Question-Article-Match'!$A:$A,A90,'Question-Article-Match'!$C:$C,C90,'Question-Article-Match'!$F:$F,"indirect match")&gt;0,"indirect match","no match"))</f>
        <v>no match</v>
      </c>
      <c r="H90" s="17">
        <f t="shared" si="11"/>
        <v>0</v>
      </c>
      <c r="I90" s="17">
        <f t="shared" si="12"/>
        <v>1</v>
      </c>
      <c r="J90" s="17" t="str">
        <f t="shared" si="13"/>
        <v>FP</v>
      </c>
    </row>
    <row r="91" spans="1:10">
      <c r="A91" s="17" t="s">
        <v>129</v>
      </c>
      <c r="B91" s="17" t="s">
        <v>130</v>
      </c>
      <c r="C91" s="17">
        <v>6</v>
      </c>
      <c r="D91" s="17" t="s">
        <v>28</v>
      </c>
      <c r="E91" s="17" t="s">
        <v>29</v>
      </c>
      <c r="F91" s="18">
        <v>0.3145</v>
      </c>
      <c r="G91" s="17" t="str">
        <f>IF(COUNTIFS('Question-Article-Match'!$A:$A,A91,'Question-Article-Match'!$C:$C,C91,'Question-Article-Match'!$F:$F,"direct match")&gt;0,"direct match",IF(COUNTIFS('Question-Article-Match'!$A:$A,A91,'Question-Article-Match'!$C:$C,C91,'Question-Article-Match'!$F:$F,"indirect match")&gt;0,"indirect match","no match"))</f>
        <v>no match</v>
      </c>
      <c r="H91" s="17">
        <f t="shared" si="11"/>
        <v>0</v>
      </c>
      <c r="I91" s="17">
        <f t="shared" si="12"/>
        <v>0</v>
      </c>
      <c r="J91" s="17" t="str">
        <f t="shared" si="13"/>
        <v>TN</v>
      </c>
    </row>
    <row r="92" spans="1:10">
      <c r="A92" s="17" t="s">
        <v>129</v>
      </c>
      <c r="B92" s="17" t="s">
        <v>130</v>
      </c>
      <c r="C92" s="17">
        <v>7</v>
      </c>
      <c r="D92" s="17" t="s">
        <v>75</v>
      </c>
      <c r="E92" s="17" t="s">
        <v>76</v>
      </c>
      <c r="F92" s="18">
        <v>0.49320000000000003</v>
      </c>
      <c r="G92" s="17" t="str">
        <f>IF(COUNTIFS('Question-Article-Match'!$A:$A,A92,'Question-Article-Match'!$C:$C,C92,'Question-Article-Match'!$F:$F,"direct match")&gt;0,"direct match",IF(COUNTIFS('Question-Article-Match'!$A:$A,A92,'Question-Article-Match'!$C:$C,C92,'Question-Article-Match'!$F:$F,"indirect match")&gt;0,"indirect match","no match"))</f>
        <v>indirect match</v>
      </c>
      <c r="H92" s="17">
        <f t="shared" si="11"/>
        <v>1</v>
      </c>
      <c r="I92" s="17">
        <f t="shared" si="12"/>
        <v>1</v>
      </c>
      <c r="J92" s="17" t="str">
        <f t="shared" si="13"/>
        <v>TP</v>
      </c>
    </row>
    <row r="93" spans="1:10">
      <c r="A93" s="17" t="s">
        <v>129</v>
      </c>
      <c r="B93" s="17" t="s">
        <v>130</v>
      </c>
      <c r="C93" s="17">
        <v>8</v>
      </c>
      <c r="D93" s="17" t="s">
        <v>40</v>
      </c>
      <c r="E93" s="17" t="s">
        <v>41</v>
      </c>
      <c r="F93" s="18">
        <v>0.35020000000000001</v>
      </c>
      <c r="G93" s="17" t="str">
        <f>IF(COUNTIFS('Question-Article-Match'!$A:$A,A93,'Question-Article-Match'!$C:$C,C93,'Question-Article-Match'!$F:$F,"direct match")&gt;0,"direct match",IF(COUNTIFS('Question-Article-Match'!$A:$A,A93,'Question-Article-Match'!$C:$C,C93,'Question-Article-Match'!$F:$F,"indirect match")&gt;0,"indirect match","no match"))</f>
        <v>no match</v>
      </c>
      <c r="H93" s="17">
        <f t="shared" si="11"/>
        <v>0</v>
      </c>
      <c r="I93" s="17">
        <f t="shared" si="12"/>
        <v>1</v>
      </c>
      <c r="J93" s="17" t="str">
        <f t="shared" si="13"/>
        <v>FP</v>
      </c>
    </row>
    <row r="94" spans="1:10">
      <c r="A94" s="17" t="s">
        <v>129</v>
      </c>
      <c r="B94" s="17" t="s">
        <v>130</v>
      </c>
      <c r="C94" s="17">
        <v>9</v>
      </c>
      <c r="D94" s="17" t="s">
        <v>10</v>
      </c>
      <c r="E94" s="17" t="s">
        <v>11</v>
      </c>
      <c r="F94" s="18">
        <v>0.23100000000000001</v>
      </c>
      <c r="G94" s="17" t="str">
        <f>IF(COUNTIFS('Question-Article-Match'!$A:$A,A94,'Question-Article-Match'!$C:$C,C94,'Question-Article-Match'!$F:$F,"direct match")&gt;0,"direct match",IF(COUNTIFS('Question-Article-Match'!$A:$A,A94,'Question-Article-Match'!$C:$C,C94,'Question-Article-Match'!$F:$F,"indirect match")&gt;0,"indirect match","no match"))</f>
        <v>no match</v>
      </c>
      <c r="H94" s="17">
        <f t="shared" si="11"/>
        <v>0</v>
      </c>
      <c r="I94" s="17">
        <f t="shared" si="12"/>
        <v>0</v>
      </c>
      <c r="J94" s="17" t="str">
        <f t="shared" si="13"/>
        <v>TN</v>
      </c>
    </row>
    <row r="95" spans="1:10">
      <c r="A95" s="17" t="s">
        <v>129</v>
      </c>
      <c r="B95" s="17" t="s">
        <v>130</v>
      </c>
      <c r="C95" s="17">
        <v>10</v>
      </c>
      <c r="D95" s="17" t="s">
        <v>32</v>
      </c>
      <c r="E95" s="17" t="s">
        <v>33</v>
      </c>
      <c r="F95" s="18">
        <v>0.72230000000000005</v>
      </c>
      <c r="G95" s="17" t="str">
        <f>IF(COUNTIFS('Question-Article-Match'!$A:$A,A95,'Question-Article-Match'!$C:$C,C95,'Question-Article-Match'!$F:$F,"direct match")&gt;0,"direct match",IF(COUNTIFS('Question-Article-Match'!$A:$A,A95,'Question-Article-Match'!$C:$C,C95,'Question-Article-Match'!$F:$F,"indirect match")&gt;0,"indirect match","no match"))</f>
        <v>direct match</v>
      </c>
      <c r="H95" s="17">
        <f t="shared" si="11"/>
        <v>1</v>
      </c>
      <c r="I95" s="17">
        <f t="shared" si="12"/>
        <v>1</v>
      </c>
      <c r="J95" s="17" t="str">
        <f t="shared" si="13"/>
        <v>TP</v>
      </c>
    </row>
    <row r="96" spans="1:10">
      <c r="A96" s="17" t="s">
        <v>129</v>
      </c>
      <c r="B96" s="17" t="s">
        <v>130</v>
      </c>
      <c r="C96" s="17">
        <v>11</v>
      </c>
      <c r="D96" s="17" t="s">
        <v>89</v>
      </c>
      <c r="E96" s="17" t="s">
        <v>90</v>
      </c>
      <c r="F96" s="18">
        <v>5.9200000000000003E-2</v>
      </c>
      <c r="G96" s="17" t="str">
        <f>IF(COUNTIFS('Question-Article-Match'!$A:$A,A96,'Question-Article-Match'!$C:$C,C96,'Question-Article-Match'!$F:$F,"direct match")&gt;0,"direct match",IF(COUNTIFS('Question-Article-Match'!$A:$A,A96,'Question-Article-Match'!$C:$C,C96,'Question-Article-Match'!$F:$F,"indirect match")&gt;0,"indirect match","no match"))</f>
        <v>no match</v>
      </c>
      <c r="H96" s="17">
        <f t="shared" si="11"/>
        <v>0</v>
      </c>
      <c r="I96" s="17">
        <f t="shared" si="12"/>
        <v>0</v>
      </c>
      <c r="J96" s="17" t="str">
        <f t="shared" si="13"/>
        <v>TN</v>
      </c>
    </row>
    <row r="97" spans="1:10">
      <c r="A97" s="17" t="s">
        <v>129</v>
      </c>
      <c r="B97" s="17" t="s">
        <v>130</v>
      </c>
      <c r="C97" s="17">
        <v>12</v>
      </c>
      <c r="D97" s="17" t="s">
        <v>20</v>
      </c>
      <c r="E97" s="17" t="s">
        <v>21</v>
      </c>
      <c r="F97" s="18">
        <v>0.40560000000000002</v>
      </c>
      <c r="G97" s="17" t="str">
        <f>IF(COUNTIFS('Question-Article-Match'!$A:$A,A97,'Question-Article-Match'!$C:$C,C97,'Question-Article-Match'!$F:$F,"direct match")&gt;0,"direct match",IF(COUNTIFS('Question-Article-Match'!$A:$A,A97,'Question-Article-Match'!$C:$C,C97,'Question-Article-Match'!$F:$F,"indirect match")&gt;0,"indirect match","no match"))</f>
        <v>indirect match</v>
      </c>
      <c r="H97" s="17">
        <f t="shared" si="11"/>
        <v>1</v>
      </c>
      <c r="I97" s="17">
        <f t="shared" si="12"/>
        <v>1</v>
      </c>
      <c r="J97" s="17" t="str">
        <f t="shared" si="13"/>
        <v>TP</v>
      </c>
    </row>
    <row r="98" spans="1:10">
      <c r="A98" s="17" t="s">
        <v>129</v>
      </c>
      <c r="B98" s="17" t="s">
        <v>130</v>
      </c>
      <c r="C98" s="17">
        <v>13</v>
      </c>
      <c r="D98" s="17" t="s">
        <v>34</v>
      </c>
      <c r="E98" s="17" t="s">
        <v>35</v>
      </c>
      <c r="F98" s="18">
        <v>0.14499999999999999</v>
      </c>
      <c r="G98" s="17" t="str">
        <f>IF(COUNTIFS('Question-Article-Match'!$A:$A,A98,'Question-Article-Match'!$C:$C,C98,'Question-Article-Match'!$F:$F,"direct match")&gt;0,"direct match",IF(COUNTIFS('Question-Article-Match'!$A:$A,A98,'Question-Article-Match'!$C:$C,C98,'Question-Article-Match'!$F:$F,"indirect match")&gt;0,"indirect match","no match"))</f>
        <v>no match</v>
      </c>
      <c r="H98" s="17">
        <f t="shared" si="11"/>
        <v>0</v>
      </c>
      <c r="I98" s="17">
        <f t="shared" si="12"/>
        <v>0</v>
      </c>
      <c r="J98" s="17" t="str">
        <f t="shared" si="13"/>
        <v>TN</v>
      </c>
    </row>
    <row r="99" spans="1:10">
      <c r="A99" s="17" t="s">
        <v>129</v>
      </c>
      <c r="B99" s="17" t="s">
        <v>130</v>
      </c>
      <c r="C99" s="17">
        <v>14</v>
      </c>
      <c r="D99" s="17" t="s">
        <v>16</v>
      </c>
      <c r="E99" s="17" t="s">
        <v>17</v>
      </c>
      <c r="F99" s="18">
        <v>0.13980000000000001</v>
      </c>
      <c r="G99" s="17" t="str">
        <f>IF(COUNTIFS('Question-Article-Match'!$A:$A,A99,'Question-Article-Match'!$C:$C,C99,'Question-Article-Match'!$F:$F,"direct match")&gt;0,"direct match",IF(COUNTIFS('Question-Article-Match'!$A:$A,A99,'Question-Article-Match'!$C:$C,C99,'Question-Article-Match'!$F:$F,"indirect match")&gt;0,"indirect match","no match"))</f>
        <v>no match</v>
      </c>
      <c r="H99" s="17">
        <f t="shared" si="11"/>
        <v>0</v>
      </c>
      <c r="I99" s="17">
        <f t="shared" si="12"/>
        <v>0</v>
      </c>
      <c r="J99" s="17" t="str">
        <f t="shared" si="13"/>
        <v>TN</v>
      </c>
    </row>
    <row r="100" spans="1:10">
      <c r="A100" s="17" t="s">
        <v>129</v>
      </c>
      <c r="B100" s="17" t="s">
        <v>130</v>
      </c>
      <c r="C100" s="17">
        <v>15</v>
      </c>
      <c r="D100" s="17" t="s">
        <v>42</v>
      </c>
      <c r="E100" s="17" t="s">
        <v>43</v>
      </c>
      <c r="F100" s="18">
        <v>0.1898</v>
      </c>
      <c r="G100" s="17" t="str">
        <f>IF(COUNTIFS('Question-Article-Match'!$A:$A,A100,'Question-Article-Match'!$C:$C,C100,'Question-Article-Match'!$F:$F,"direct match")&gt;0,"direct match",IF(COUNTIFS('Question-Article-Match'!$A:$A,A100,'Question-Article-Match'!$C:$C,C100,'Question-Article-Match'!$F:$F,"indirect match")&gt;0,"indirect match","no match"))</f>
        <v>no match</v>
      </c>
      <c r="H100" s="17">
        <f t="shared" si="11"/>
        <v>0</v>
      </c>
      <c r="I100" s="17">
        <f t="shared" si="12"/>
        <v>0</v>
      </c>
      <c r="J100" s="17" t="str">
        <f t="shared" si="13"/>
        <v>TN</v>
      </c>
    </row>
    <row r="101" spans="1:10">
      <c r="A101" s="17" t="s">
        <v>129</v>
      </c>
      <c r="B101" s="17" t="s">
        <v>130</v>
      </c>
      <c r="C101" s="17">
        <v>16</v>
      </c>
      <c r="D101" s="17" t="s">
        <v>12</v>
      </c>
      <c r="E101" s="17" t="s">
        <v>13</v>
      </c>
      <c r="F101" s="18">
        <v>0.44080000000000003</v>
      </c>
      <c r="G101" s="17" t="str">
        <f>IF(COUNTIFS('Question-Article-Match'!$A:$A,A101,'Question-Article-Match'!$C:$C,C101,'Question-Article-Match'!$F:$F,"direct match")&gt;0,"direct match",IF(COUNTIFS('Question-Article-Match'!$A:$A,A101,'Question-Article-Match'!$C:$C,C101,'Question-Article-Match'!$F:$F,"indirect match")&gt;0,"indirect match","no match"))</f>
        <v>no match</v>
      </c>
      <c r="H101" s="17">
        <f t="shared" si="11"/>
        <v>0</v>
      </c>
      <c r="I101" s="17">
        <f t="shared" si="12"/>
        <v>1</v>
      </c>
      <c r="J101" s="17" t="str">
        <f t="shared" si="13"/>
        <v>FP</v>
      </c>
    </row>
    <row r="102" spans="1:10">
      <c r="A102" s="17" t="s">
        <v>129</v>
      </c>
      <c r="B102" s="17" t="s">
        <v>130</v>
      </c>
      <c r="C102" s="17">
        <v>17</v>
      </c>
      <c r="D102" s="17" t="s">
        <v>108</v>
      </c>
      <c r="E102" s="17" t="s">
        <v>109</v>
      </c>
      <c r="F102" s="18">
        <v>5.7000000000000002E-2</v>
      </c>
      <c r="G102" s="17" t="str">
        <f>IF(COUNTIFS('Question-Article-Match'!$A:$A,A102,'Question-Article-Match'!$C:$C,C102,'Question-Article-Match'!$F:$F,"direct match")&gt;0,"direct match",IF(COUNTIFS('Question-Article-Match'!$A:$A,A102,'Question-Article-Match'!$C:$C,C102,'Question-Article-Match'!$F:$F,"indirect match")&gt;0,"indirect match","no match"))</f>
        <v>no match</v>
      </c>
      <c r="H102" s="17">
        <f t="shared" si="11"/>
        <v>0</v>
      </c>
      <c r="I102" s="17">
        <f t="shared" si="12"/>
        <v>0</v>
      </c>
      <c r="J102" s="17" t="str">
        <f t="shared" si="13"/>
        <v>TN</v>
      </c>
    </row>
    <row r="103" spans="1:10">
      <c r="A103" s="17" t="s">
        <v>129</v>
      </c>
      <c r="B103" s="17" t="s">
        <v>130</v>
      </c>
      <c r="C103" s="17">
        <v>18</v>
      </c>
      <c r="D103" s="17" t="s">
        <v>24</v>
      </c>
      <c r="E103" s="17" t="s">
        <v>25</v>
      </c>
      <c r="F103" s="18">
        <v>0.3367</v>
      </c>
      <c r="G103" s="17" t="str">
        <f>IF(COUNTIFS('Question-Article-Match'!$A:$A,A103,'Question-Article-Match'!$C:$C,C103,'Question-Article-Match'!$F:$F,"direct match")&gt;0,"direct match",IF(COUNTIFS('Question-Article-Match'!$A:$A,A103,'Question-Article-Match'!$C:$C,C103,'Question-Article-Match'!$F:$F,"indirect match")&gt;0,"indirect match","no match"))</f>
        <v>no match</v>
      </c>
      <c r="H103" s="17">
        <f t="shared" si="11"/>
        <v>0</v>
      </c>
      <c r="I103" s="17">
        <f t="shared" si="12"/>
        <v>0</v>
      </c>
      <c r="J103" s="17" t="str">
        <f t="shared" si="13"/>
        <v>TN</v>
      </c>
    </row>
    <row r="104" spans="1:10">
      <c r="A104" s="17" t="s">
        <v>129</v>
      </c>
      <c r="B104" s="17" t="s">
        <v>130</v>
      </c>
      <c r="C104" s="17">
        <v>19</v>
      </c>
      <c r="D104" s="17" t="s">
        <v>14</v>
      </c>
      <c r="E104" s="17" t="s">
        <v>15</v>
      </c>
      <c r="F104" s="18">
        <v>0.34389999999999998</v>
      </c>
      <c r="G104" s="17" t="str">
        <f>IF(COUNTIFS('Question-Article-Match'!$A:$A,A104,'Question-Article-Match'!$C:$C,C104,'Question-Article-Match'!$F:$F,"direct match")&gt;0,"direct match",IF(COUNTIFS('Question-Article-Match'!$A:$A,A104,'Question-Article-Match'!$C:$C,C104,'Question-Article-Match'!$F:$F,"indirect match")&gt;0,"indirect match","no match"))</f>
        <v>indirect match</v>
      </c>
      <c r="H104" s="17">
        <f t="shared" si="11"/>
        <v>1</v>
      </c>
      <c r="I104" s="17">
        <f t="shared" si="12"/>
        <v>0</v>
      </c>
      <c r="J104" s="17" t="str">
        <f t="shared" si="13"/>
        <v>FN</v>
      </c>
    </row>
    <row r="105" spans="1:10">
      <c r="A105" s="17" t="s">
        <v>129</v>
      </c>
      <c r="B105" s="17" t="s">
        <v>130</v>
      </c>
      <c r="C105" s="17">
        <v>20</v>
      </c>
      <c r="D105" s="17" t="s">
        <v>113</v>
      </c>
      <c r="E105" s="17" t="s">
        <v>114</v>
      </c>
      <c r="F105" s="18">
        <v>-1.0200000000000001E-2</v>
      </c>
      <c r="G105" s="17" t="str">
        <f>IF(COUNTIFS('Question-Article-Match'!$A:$A,A105,'Question-Article-Match'!$C:$C,C105,'Question-Article-Match'!$F:$F,"direct match")&gt;0,"direct match",IF(COUNTIFS('Question-Article-Match'!$A:$A,A105,'Question-Article-Match'!$C:$C,C105,'Question-Article-Match'!$F:$F,"indirect match")&gt;0,"indirect match","no match"))</f>
        <v>no match</v>
      </c>
      <c r="H105" s="17">
        <f t="shared" si="11"/>
        <v>0</v>
      </c>
      <c r="I105" s="17">
        <f t="shared" si="12"/>
        <v>0</v>
      </c>
      <c r="J105" s="17" t="str">
        <f t="shared" si="13"/>
        <v>TN</v>
      </c>
    </row>
    <row r="106" spans="1:10">
      <c r="A106" s="17" t="s">
        <v>129</v>
      </c>
      <c r="B106" s="17" t="s">
        <v>130</v>
      </c>
      <c r="C106" s="17">
        <v>21</v>
      </c>
      <c r="D106" s="17" t="s">
        <v>46</v>
      </c>
      <c r="E106" s="17" t="s">
        <v>47</v>
      </c>
      <c r="F106" s="18">
        <v>0.12330000000000001</v>
      </c>
      <c r="G106" s="17" t="str">
        <f>IF(COUNTIFS('Question-Article-Match'!$A:$A,A106,'Question-Article-Match'!$C:$C,C106,'Question-Article-Match'!$F:$F,"direct match")&gt;0,"direct match",IF(COUNTIFS('Question-Article-Match'!$A:$A,A106,'Question-Article-Match'!$C:$C,C106,'Question-Article-Match'!$F:$F,"indirect match")&gt;0,"indirect match","no match"))</f>
        <v>no match</v>
      </c>
      <c r="H106" s="17">
        <f t="shared" si="11"/>
        <v>0</v>
      </c>
      <c r="I106" s="17">
        <f t="shared" si="12"/>
        <v>0</v>
      </c>
      <c r="J106" s="17" t="str">
        <f t="shared" si="13"/>
        <v>TN</v>
      </c>
    </row>
    <row r="107" spans="1:10">
      <c r="A107" s="17" t="s">
        <v>132</v>
      </c>
      <c r="B107" s="17" t="s">
        <v>133</v>
      </c>
      <c r="C107" s="17">
        <v>1</v>
      </c>
      <c r="D107" s="17" t="s">
        <v>22</v>
      </c>
      <c r="E107" s="17" t="s">
        <v>23</v>
      </c>
      <c r="F107" s="18">
        <v>0.21149999999999999</v>
      </c>
      <c r="G107" s="17" t="str">
        <f>IF(COUNTIFS('Question-Article-Match'!$A:$A,A107,'Question-Article-Match'!$C:$C,C107,'Question-Article-Match'!$F:$F,"direct match")&gt;0,"direct match",IF(COUNTIFS('Question-Article-Match'!$A:$A,A107,'Question-Article-Match'!$C:$C,C107,'Question-Article-Match'!$F:$F,"indirect match")&gt;0,"indirect match","no match"))</f>
        <v>no match</v>
      </c>
      <c r="H107" s="17">
        <f t="shared" si="11"/>
        <v>0</v>
      </c>
      <c r="I107" s="17">
        <f t="shared" si="12"/>
        <v>0</v>
      </c>
      <c r="J107" s="17" t="str">
        <f t="shared" si="13"/>
        <v>TN</v>
      </c>
    </row>
    <row r="108" spans="1:10">
      <c r="A108" s="17" t="s">
        <v>132</v>
      </c>
      <c r="B108" s="17" t="s">
        <v>133</v>
      </c>
      <c r="C108" s="17">
        <v>2</v>
      </c>
      <c r="D108" s="17" t="s">
        <v>18</v>
      </c>
      <c r="E108" s="17" t="s">
        <v>19</v>
      </c>
      <c r="F108" s="18">
        <v>0.21299999999999999</v>
      </c>
      <c r="G108" s="17" t="str">
        <f>IF(COUNTIFS('Question-Article-Match'!$A:$A,A108,'Question-Article-Match'!$C:$C,C108,'Question-Article-Match'!$F:$F,"direct match")&gt;0,"direct match",IF(COUNTIFS('Question-Article-Match'!$A:$A,A108,'Question-Article-Match'!$C:$C,C108,'Question-Article-Match'!$F:$F,"indirect match")&gt;0,"indirect match","no match"))</f>
        <v>no match</v>
      </c>
      <c r="H108" s="17">
        <f t="shared" si="11"/>
        <v>0</v>
      </c>
      <c r="I108" s="17">
        <f t="shared" si="12"/>
        <v>0</v>
      </c>
      <c r="J108" s="17" t="str">
        <f t="shared" si="13"/>
        <v>TN</v>
      </c>
    </row>
    <row r="109" spans="1:10">
      <c r="A109" s="17" t="s">
        <v>132</v>
      </c>
      <c r="B109" s="17" t="s">
        <v>133</v>
      </c>
      <c r="C109" s="17">
        <v>3</v>
      </c>
      <c r="D109" s="17" t="s">
        <v>26</v>
      </c>
      <c r="E109" s="17" t="s">
        <v>27</v>
      </c>
      <c r="F109" s="18">
        <v>0.16320000000000001</v>
      </c>
      <c r="G109" s="17" t="str">
        <f>IF(COUNTIFS('Question-Article-Match'!$A:$A,A109,'Question-Article-Match'!$C:$C,C109,'Question-Article-Match'!$F:$F,"direct match")&gt;0,"direct match",IF(COUNTIFS('Question-Article-Match'!$A:$A,A109,'Question-Article-Match'!$C:$C,C109,'Question-Article-Match'!$F:$F,"indirect match")&gt;0,"indirect match","no match"))</f>
        <v>no match</v>
      </c>
      <c r="H109" s="17">
        <f t="shared" si="11"/>
        <v>0</v>
      </c>
      <c r="I109" s="17">
        <f t="shared" si="12"/>
        <v>0</v>
      </c>
      <c r="J109" s="17" t="str">
        <f t="shared" si="13"/>
        <v>TN</v>
      </c>
    </row>
    <row r="110" spans="1:10">
      <c r="A110" s="17" t="s">
        <v>132</v>
      </c>
      <c r="B110" s="17" t="s">
        <v>133</v>
      </c>
      <c r="C110" s="17">
        <v>4</v>
      </c>
      <c r="D110" s="17" t="s">
        <v>64</v>
      </c>
      <c r="E110" s="17" t="s">
        <v>65</v>
      </c>
      <c r="F110" s="18">
        <v>0.2356</v>
      </c>
      <c r="G110" s="17" t="str">
        <f>IF(COUNTIFS('Question-Article-Match'!$A:$A,A110,'Question-Article-Match'!$C:$C,C110,'Question-Article-Match'!$F:$F,"direct match")&gt;0,"direct match",IF(COUNTIFS('Question-Article-Match'!$A:$A,A110,'Question-Article-Match'!$C:$C,C110,'Question-Article-Match'!$F:$F,"indirect match")&gt;0,"indirect match","no match"))</f>
        <v>no match</v>
      </c>
      <c r="H110" s="17">
        <f t="shared" si="11"/>
        <v>0</v>
      </c>
      <c r="I110" s="17">
        <f t="shared" si="12"/>
        <v>0</v>
      </c>
      <c r="J110" s="17" t="str">
        <f t="shared" si="13"/>
        <v>TN</v>
      </c>
    </row>
    <row r="111" spans="1:10">
      <c r="A111" s="17" t="s">
        <v>132</v>
      </c>
      <c r="B111" s="17" t="s">
        <v>133</v>
      </c>
      <c r="C111" s="17">
        <v>5</v>
      </c>
      <c r="D111" s="17" t="s">
        <v>36</v>
      </c>
      <c r="E111" s="17" t="s">
        <v>37</v>
      </c>
      <c r="F111" s="18">
        <v>0.52010000000000001</v>
      </c>
      <c r="G111" s="17" t="str">
        <f>IF(COUNTIFS('Question-Article-Match'!$A:$A,A111,'Question-Article-Match'!$C:$C,C111,'Question-Article-Match'!$F:$F,"direct match")&gt;0,"direct match",IF(COUNTIFS('Question-Article-Match'!$A:$A,A111,'Question-Article-Match'!$C:$C,C111,'Question-Article-Match'!$F:$F,"indirect match")&gt;0,"indirect match","no match"))</f>
        <v>indirect match</v>
      </c>
      <c r="H111" s="17">
        <f t="shared" si="11"/>
        <v>1</v>
      </c>
      <c r="I111" s="17">
        <f t="shared" si="12"/>
        <v>1</v>
      </c>
      <c r="J111" s="17" t="str">
        <f t="shared" si="13"/>
        <v>TP</v>
      </c>
    </row>
    <row r="112" spans="1:10">
      <c r="A112" s="17" t="s">
        <v>132</v>
      </c>
      <c r="B112" s="17" t="s">
        <v>133</v>
      </c>
      <c r="C112" s="17">
        <v>6</v>
      </c>
      <c r="D112" s="17" t="s">
        <v>28</v>
      </c>
      <c r="E112" s="17" t="s">
        <v>29</v>
      </c>
      <c r="F112" s="18">
        <v>0.45590000000000003</v>
      </c>
      <c r="G112" s="17" t="str">
        <f>IF(COUNTIFS('Question-Article-Match'!$A:$A,A112,'Question-Article-Match'!$C:$C,C112,'Question-Article-Match'!$F:$F,"direct match")&gt;0,"direct match",IF(COUNTIFS('Question-Article-Match'!$A:$A,A112,'Question-Article-Match'!$C:$C,C112,'Question-Article-Match'!$F:$F,"indirect match")&gt;0,"indirect match","no match"))</f>
        <v>indirect match</v>
      </c>
      <c r="H112" s="17">
        <f t="shared" si="11"/>
        <v>1</v>
      </c>
      <c r="I112" s="17">
        <f t="shared" si="12"/>
        <v>1</v>
      </c>
      <c r="J112" s="17" t="str">
        <f t="shared" si="13"/>
        <v>TP</v>
      </c>
    </row>
    <row r="113" spans="1:10">
      <c r="A113" s="17" t="s">
        <v>132</v>
      </c>
      <c r="B113" s="17" t="s">
        <v>133</v>
      </c>
      <c r="C113" s="17">
        <v>7</v>
      </c>
      <c r="D113" s="17" t="s">
        <v>75</v>
      </c>
      <c r="E113" s="17" t="s">
        <v>76</v>
      </c>
      <c r="F113" s="18">
        <v>0.62919999999999998</v>
      </c>
      <c r="G113" s="17" t="str">
        <f>IF(COUNTIFS('Question-Article-Match'!$A:$A,A113,'Question-Article-Match'!$C:$C,C113,'Question-Article-Match'!$F:$F,"direct match")&gt;0,"direct match",IF(COUNTIFS('Question-Article-Match'!$A:$A,A113,'Question-Article-Match'!$C:$C,C113,'Question-Article-Match'!$F:$F,"indirect match")&gt;0,"indirect match","no match"))</f>
        <v>direct match</v>
      </c>
      <c r="H113" s="17">
        <f t="shared" si="11"/>
        <v>1</v>
      </c>
      <c r="I113" s="17">
        <f t="shared" si="12"/>
        <v>1</v>
      </c>
      <c r="J113" s="17" t="str">
        <f t="shared" si="13"/>
        <v>TP</v>
      </c>
    </row>
    <row r="114" spans="1:10">
      <c r="A114" s="17" t="s">
        <v>132</v>
      </c>
      <c r="B114" s="17" t="s">
        <v>133</v>
      </c>
      <c r="C114" s="17">
        <v>8</v>
      </c>
      <c r="D114" s="17" t="s">
        <v>40</v>
      </c>
      <c r="E114" s="17" t="s">
        <v>41</v>
      </c>
      <c r="F114" s="18">
        <v>0.441</v>
      </c>
      <c r="G114" s="17" t="str">
        <f>IF(COUNTIFS('Question-Article-Match'!$A:$A,A114,'Question-Article-Match'!$C:$C,C114,'Question-Article-Match'!$F:$F,"direct match")&gt;0,"direct match",IF(COUNTIFS('Question-Article-Match'!$A:$A,A114,'Question-Article-Match'!$C:$C,C114,'Question-Article-Match'!$F:$F,"indirect match")&gt;0,"indirect match","no match"))</f>
        <v>indirect match</v>
      </c>
      <c r="H114" s="17">
        <f t="shared" si="11"/>
        <v>1</v>
      </c>
      <c r="I114" s="17">
        <f t="shared" si="12"/>
        <v>1</v>
      </c>
      <c r="J114" s="17" t="str">
        <f t="shared" si="13"/>
        <v>TP</v>
      </c>
    </row>
    <row r="115" spans="1:10">
      <c r="A115" s="17" t="s">
        <v>132</v>
      </c>
      <c r="B115" s="17" t="s">
        <v>133</v>
      </c>
      <c r="C115" s="17">
        <v>9</v>
      </c>
      <c r="D115" s="17" t="s">
        <v>10</v>
      </c>
      <c r="E115" s="17" t="s">
        <v>11</v>
      </c>
      <c r="F115" s="18">
        <v>0.1464</v>
      </c>
      <c r="G115" s="17" t="str">
        <f>IF(COUNTIFS('Question-Article-Match'!$A:$A,A115,'Question-Article-Match'!$C:$C,C115,'Question-Article-Match'!$F:$F,"direct match")&gt;0,"direct match",IF(COUNTIFS('Question-Article-Match'!$A:$A,A115,'Question-Article-Match'!$C:$C,C115,'Question-Article-Match'!$F:$F,"indirect match")&gt;0,"indirect match","no match"))</f>
        <v>no match</v>
      </c>
      <c r="H115" s="17">
        <f t="shared" si="11"/>
        <v>0</v>
      </c>
      <c r="I115" s="17">
        <f t="shared" si="12"/>
        <v>0</v>
      </c>
      <c r="J115" s="17" t="str">
        <f t="shared" si="13"/>
        <v>TN</v>
      </c>
    </row>
    <row r="116" spans="1:10">
      <c r="A116" s="17" t="s">
        <v>132</v>
      </c>
      <c r="B116" s="17" t="s">
        <v>133</v>
      </c>
      <c r="C116" s="17">
        <v>10</v>
      </c>
      <c r="D116" s="17" t="s">
        <v>32</v>
      </c>
      <c r="E116" s="17" t="s">
        <v>33</v>
      </c>
      <c r="F116" s="18">
        <v>0.56950000000000001</v>
      </c>
      <c r="G116" s="17" t="str">
        <f>IF(COUNTIFS('Question-Article-Match'!$A:$A,A116,'Question-Article-Match'!$C:$C,C116,'Question-Article-Match'!$F:$F,"direct match")&gt;0,"direct match",IF(COUNTIFS('Question-Article-Match'!$A:$A,A116,'Question-Article-Match'!$C:$C,C116,'Question-Article-Match'!$F:$F,"indirect match")&gt;0,"indirect match","no match"))</f>
        <v>indirect match</v>
      </c>
      <c r="H116" s="17">
        <f t="shared" si="11"/>
        <v>1</v>
      </c>
      <c r="I116" s="17">
        <f t="shared" si="12"/>
        <v>1</v>
      </c>
      <c r="J116" s="17" t="str">
        <f t="shared" si="13"/>
        <v>TP</v>
      </c>
    </row>
    <row r="117" spans="1:10">
      <c r="A117" s="17" t="s">
        <v>132</v>
      </c>
      <c r="B117" s="17" t="s">
        <v>133</v>
      </c>
      <c r="C117" s="17">
        <v>11</v>
      </c>
      <c r="D117" s="17" t="s">
        <v>89</v>
      </c>
      <c r="E117" s="17" t="s">
        <v>90</v>
      </c>
      <c r="F117" s="18">
        <v>0.21920000000000001</v>
      </c>
      <c r="G117" s="17" t="str">
        <f>IF(COUNTIFS('Question-Article-Match'!$A:$A,A117,'Question-Article-Match'!$C:$C,C117,'Question-Article-Match'!$F:$F,"direct match")&gt;0,"direct match",IF(COUNTIFS('Question-Article-Match'!$A:$A,A117,'Question-Article-Match'!$C:$C,C117,'Question-Article-Match'!$F:$F,"indirect match")&gt;0,"indirect match","no match"))</f>
        <v>no match</v>
      </c>
      <c r="H117" s="17">
        <f t="shared" si="11"/>
        <v>0</v>
      </c>
      <c r="I117" s="17">
        <f t="shared" si="12"/>
        <v>0</v>
      </c>
      <c r="J117" s="17" t="str">
        <f t="shared" si="13"/>
        <v>TN</v>
      </c>
    </row>
    <row r="118" spans="1:10">
      <c r="A118" s="17" t="s">
        <v>132</v>
      </c>
      <c r="B118" s="17" t="s">
        <v>133</v>
      </c>
      <c r="C118" s="17">
        <v>12</v>
      </c>
      <c r="D118" s="17" t="s">
        <v>20</v>
      </c>
      <c r="E118" s="17" t="s">
        <v>21</v>
      </c>
      <c r="F118" s="18">
        <v>0.57330000000000003</v>
      </c>
      <c r="G118" s="17" t="str">
        <f>IF(COUNTIFS('Question-Article-Match'!$A:$A,A118,'Question-Article-Match'!$C:$C,C118,'Question-Article-Match'!$F:$F,"direct match")&gt;0,"direct match",IF(COUNTIFS('Question-Article-Match'!$A:$A,A118,'Question-Article-Match'!$C:$C,C118,'Question-Article-Match'!$F:$F,"indirect match")&gt;0,"indirect match","no match"))</f>
        <v>direct match</v>
      </c>
      <c r="H118" s="17">
        <f t="shared" si="11"/>
        <v>1</v>
      </c>
      <c r="I118" s="17">
        <f t="shared" si="12"/>
        <v>1</v>
      </c>
      <c r="J118" s="17" t="str">
        <f t="shared" si="13"/>
        <v>TP</v>
      </c>
    </row>
    <row r="119" spans="1:10">
      <c r="A119" s="17" t="s">
        <v>132</v>
      </c>
      <c r="B119" s="17" t="s">
        <v>133</v>
      </c>
      <c r="C119" s="17">
        <v>13</v>
      </c>
      <c r="D119" s="17" t="s">
        <v>34</v>
      </c>
      <c r="E119" s="17" t="s">
        <v>35</v>
      </c>
      <c r="F119" s="18">
        <v>0.2205</v>
      </c>
      <c r="G119" s="17" t="str">
        <f>IF(COUNTIFS('Question-Article-Match'!$A:$A,A119,'Question-Article-Match'!$C:$C,C119,'Question-Article-Match'!$F:$F,"direct match")&gt;0,"direct match",IF(COUNTIFS('Question-Article-Match'!$A:$A,A119,'Question-Article-Match'!$C:$C,C119,'Question-Article-Match'!$F:$F,"indirect match")&gt;0,"indirect match","no match"))</f>
        <v>no match</v>
      </c>
      <c r="H119" s="17">
        <f t="shared" si="11"/>
        <v>0</v>
      </c>
      <c r="I119" s="17">
        <f t="shared" si="12"/>
        <v>0</v>
      </c>
      <c r="J119" s="17" t="str">
        <f t="shared" si="13"/>
        <v>TN</v>
      </c>
    </row>
    <row r="120" spans="1:10">
      <c r="A120" s="17" t="s">
        <v>132</v>
      </c>
      <c r="B120" s="17" t="s">
        <v>133</v>
      </c>
      <c r="C120" s="17">
        <v>14</v>
      </c>
      <c r="D120" s="17" t="s">
        <v>16</v>
      </c>
      <c r="E120" s="17" t="s">
        <v>17</v>
      </c>
      <c r="F120" s="18">
        <v>0.105</v>
      </c>
      <c r="G120" s="17" t="str">
        <f>IF(COUNTIFS('Question-Article-Match'!$A:$A,A120,'Question-Article-Match'!$C:$C,C120,'Question-Article-Match'!$F:$F,"direct match")&gt;0,"direct match",IF(COUNTIFS('Question-Article-Match'!$A:$A,A120,'Question-Article-Match'!$C:$C,C120,'Question-Article-Match'!$F:$F,"indirect match")&gt;0,"indirect match","no match"))</f>
        <v>no match</v>
      </c>
      <c r="H120" s="17">
        <f t="shared" si="11"/>
        <v>0</v>
      </c>
      <c r="I120" s="17">
        <f t="shared" si="12"/>
        <v>0</v>
      </c>
      <c r="J120" s="17" t="str">
        <f t="shared" si="13"/>
        <v>TN</v>
      </c>
    </row>
    <row r="121" spans="1:10">
      <c r="A121" s="17" t="s">
        <v>132</v>
      </c>
      <c r="B121" s="17" t="s">
        <v>133</v>
      </c>
      <c r="C121" s="17">
        <v>15</v>
      </c>
      <c r="D121" s="17" t="s">
        <v>42</v>
      </c>
      <c r="E121" s="17" t="s">
        <v>43</v>
      </c>
      <c r="F121" s="18">
        <v>0.248</v>
      </c>
      <c r="G121" s="17" t="str">
        <f>IF(COUNTIFS('Question-Article-Match'!$A:$A,A121,'Question-Article-Match'!$C:$C,C121,'Question-Article-Match'!$F:$F,"direct match")&gt;0,"direct match",IF(COUNTIFS('Question-Article-Match'!$A:$A,A121,'Question-Article-Match'!$C:$C,C121,'Question-Article-Match'!$F:$F,"indirect match")&gt;0,"indirect match","no match"))</f>
        <v>no match</v>
      </c>
      <c r="H121" s="17">
        <f t="shared" si="11"/>
        <v>0</v>
      </c>
      <c r="I121" s="17">
        <f t="shared" si="12"/>
        <v>0</v>
      </c>
      <c r="J121" s="17" t="str">
        <f t="shared" si="13"/>
        <v>TN</v>
      </c>
    </row>
    <row r="122" spans="1:10">
      <c r="A122" s="17" t="s">
        <v>132</v>
      </c>
      <c r="B122" s="17" t="s">
        <v>133</v>
      </c>
      <c r="C122" s="17">
        <v>16</v>
      </c>
      <c r="D122" s="17" t="s">
        <v>12</v>
      </c>
      <c r="E122" s="17" t="s">
        <v>13</v>
      </c>
      <c r="F122" s="18">
        <v>0.40550000000000003</v>
      </c>
      <c r="G122" s="17" t="str">
        <f>IF(COUNTIFS('Question-Article-Match'!$A:$A,A122,'Question-Article-Match'!$C:$C,C122,'Question-Article-Match'!$F:$F,"direct match")&gt;0,"direct match",IF(COUNTIFS('Question-Article-Match'!$A:$A,A122,'Question-Article-Match'!$C:$C,C122,'Question-Article-Match'!$F:$F,"indirect match")&gt;0,"indirect match","no match"))</f>
        <v>no match</v>
      </c>
      <c r="H122" s="17">
        <f t="shared" si="11"/>
        <v>0</v>
      </c>
      <c r="I122" s="17">
        <f t="shared" si="12"/>
        <v>1</v>
      </c>
      <c r="J122" s="17" t="str">
        <f t="shared" si="13"/>
        <v>FP</v>
      </c>
    </row>
    <row r="123" spans="1:10">
      <c r="A123" s="17" t="s">
        <v>132</v>
      </c>
      <c r="B123" s="17" t="s">
        <v>133</v>
      </c>
      <c r="C123" s="17">
        <v>17</v>
      </c>
      <c r="D123" s="17" t="s">
        <v>108</v>
      </c>
      <c r="E123" s="17" t="s">
        <v>109</v>
      </c>
      <c r="F123" s="18">
        <v>2.53E-2</v>
      </c>
      <c r="G123" s="17" t="str">
        <f>IF(COUNTIFS('Question-Article-Match'!$A:$A,A123,'Question-Article-Match'!$C:$C,C123,'Question-Article-Match'!$F:$F,"direct match")&gt;0,"direct match",IF(COUNTIFS('Question-Article-Match'!$A:$A,A123,'Question-Article-Match'!$C:$C,C123,'Question-Article-Match'!$F:$F,"indirect match")&gt;0,"indirect match","no match"))</f>
        <v>no match</v>
      </c>
      <c r="H123" s="17">
        <f t="shared" si="11"/>
        <v>0</v>
      </c>
      <c r="I123" s="17">
        <f t="shared" si="12"/>
        <v>0</v>
      </c>
      <c r="J123" s="17" t="str">
        <f t="shared" si="13"/>
        <v>TN</v>
      </c>
    </row>
    <row r="124" spans="1:10">
      <c r="A124" s="17" t="s">
        <v>132</v>
      </c>
      <c r="B124" s="17" t="s">
        <v>133</v>
      </c>
      <c r="C124" s="17">
        <v>18</v>
      </c>
      <c r="D124" s="17" t="s">
        <v>24</v>
      </c>
      <c r="E124" s="17" t="s">
        <v>25</v>
      </c>
      <c r="F124" s="18">
        <v>0.34570000000000001</v>
      </c>
      <c r="G124" s="17" t="str">
        <f>IF(COUNTIFS('Question-Article-Match'!$A:$A,A124,'Question-Article-Match'!$C:$C,C124,'Question-Article-Match'!$F:$F,"direct match")&gt;0,"direct match",IF(COUNTIFS('Question-Article-Match'!$A:$A,A124,'Question-Article-Match'!$C:$C,C124,'Question-Article-Match'!$F:$F,"indirect match")&gt;0,"indirect match","no match"))</f>
        <v>no match</v>
      </c>
      <c r="H124" s="17">
        <f t="shared" si="11"/>
        <v>0</v>
      </c>
      <c r="I124" s="17">
        <f t="shared" si="12"/>
        <v>0</v>
      </c>
      <c r="J124" s="17" t="str">
        <f t="shared" si="13"/>
        <v>TN</v>
      </c>
    </row>
    <row r="125" spans="1:10">
      <c r="A125" s="17" t="s">
        <v>132</v>
      </c>
      <c r="B125" s="17" t="s">
        <v>133</v>
      </c>
      <c r="C125" s="17">
        <v>19</v>
      </c>
      <c r="D125" s="17" t="s">
        <v>14</v>
      </c>
      <c r="E125" s="17" t="s">
        <v>15</v>
      </c>
      <c r="F125" s="18">
        <v>0.41020000000000001</v>
      </c>
      <c r="G125" s="17" t="str">
        <f>IF(COUNTIFS('Question-Article-Match'!$A:$A,A125,'Question-Article-Match'!$C:$C,C125,'Question-Article-Match'!$F:$F,"direct match")&gt;0,"direct match",IF(COUNTIFS('Question-Article-Match'!$A:$A,A125,'Question-Article-Match'!$C:$C,C125,'Question-Article-Match'!$F:$F,"indirect match")&gt;0,"indirect match","no match"))</f>
        <v>indirect match</v>
      </c>
      <c r="H125" s="17">
        <f t="shared" si="11"/>
        <v>1</v>
      </c>
      <c r="I125" s="17">
        <f t="shared" si="12"/>
        <v>1</v>
      </c>
      <c r="J125" s="17" t="str">
        <f t="shared" si="13"/>
        <v>TP</v>
      </c>
    </row>
    <row r="126" spans="1:10">
      <c r="A126" s="17" t="s">
        <v>132</v>
      </c>
      <c r="B126" s="17" t="s">
        <v>133</v>
      </c>
      <c r="C126" s="17">
        <v>20</v>
      </c>
      <c r="D126" s="17" t="s">
        <v>113</v>
      </c>
      <c r="E126" s="17" t="s">
        <v>114</v>
      </c>
      <c r="F126" s="18">
        <v>0.18240000000000001</v>
      </c>
      <c r="G126" s="17" t="str">
        <f>IF(COUNTIFS('Question-Article-Match'!$A:$A,A126,'Question-Article-Match'!$C:$C,C126,'Question-Article-Match'!$F:$F,"direct match")&gt;0,"direct match",IF(COUNTIFS('Question-Article-Match'!$A:$A,A126,'Question-Article-Match'!$C:$C,C126,'Question-Article-Match'!$F:$F,"indirect match")&gt;0,"indirect match","no match"))</f>
        <v>no match</v>
      </c>
      <c r="H126" s="17">
        <f t="shared" si="11"/>
        <v>0</v>
      </c>
      <c r="I126" s="17">
        <f t="shared" si="12"/>
        <v>0</v>
      </c>
      <c r="J126" s="17" t="str">
        <f t="shared" si="13"/>
        <v>TN</v>
      </c>
    </row>
    <row r="127" spans="1:10">
      <c r="A127" s="17" t="s">
        <v>132</v>
      </c>
      <c r="B127" s="17" t="s">
        <v>133</v>
      </c>
      <c r="C127" s="17">
        <v>21</v>
      </c>
      <c r="D127" s="17" t="s">
        <v>46</v>
      </c>
      <c r="E127" s="17" t="s">
        <v>47</v>
      </c>
      <c r="F127" s="18">
        <v>0.15909999999999999</v>
      </c>
      <c r="G127" s="17" t="str">
        <f>IF(COUNTIFS('Question-Article-Match'!$A:$A,A127,'Question-Article-Match'!$C:$C,C127,'Question-Article-Match'!$F:$F,"direct match")&gt;0,"direct match",IF(COUNTIFS('Question-Article-Match'!$A:$A,A127,'Question-Article-Match'!$C:$C,C127,'Question-Article-Match'!$F:$F,"indirect match")&gt;0,"indirect match","no match"))</f>
        <v>no match</v>
      </c>
      <c r="H127" s="17">
        <f t="shared" si="11"/>
        <v>0</v>
      </c>
      <c r="I127" s="17">
        <f t="shared" si="12"/>
        <v>0</v>
      </c>
      <c r="J127" s="17" t="str">
        <f t="shared" si="13"/>
        <v>TN</v>
      </c>
    </row>
    <row r="128" spans="1:10">
      <c r="A128" s="17" t="s">
        <v>135</v>
      </c>
      <c r="B128" s="17" t="s">
        <v>136</v>
      </c>
      <c r="C128" s="17">
        <v>1</v>
      </c>
      <c r="D128" s="17" t="s">
        <v>22</v>
      </c>
      <c r="E128" s="17" t="s">
        <v>23</v>
      </c>
      <c r="F128" s="18">
        <v>0.28439999999999999</v>
      </c>
      <c r="G128" s="17" t="str">
        <f>IF(COUNTIFS('Question-Article-Match'!$A:$A,A128,'Question-Article-Match'!$C:$C,C128,'Question-Article-Match'!$F:$F,"direct match")&gt;0,"direct match",IF(COUNTIFS('Question-Article-Match'!$A:$A,A128,'Question-Article-Match'!$C:$C,C128,'Question-Article-Match'!$F:$F,"indirect match")&gt;0,"indirect match","no match"))</f>
        <v>no match</v>
      </c>
      <c r="H128" s="17">
        <f t="shared" si="11"/>
        <v>0</v>
      </c>
      <c r="I128" s="17">
        <f t="shared" si="12"/>
        <v>0</v>
      </c>
      <c r="J128" s="17" t="str">
        <f t="shared" si="13"/>
        <v>TN</v>
      </c>
    </row>
    <row r="129" spans="1:10">
      <c r="A129" s="17" t="s">
        <v>135</v>
      </c>
      <c r="B129" s="17" t="s">
        <v>136</v>
      </c>
      <c r="C129" s="17">
        <v>2</v>
      </c>
      <c r="D129" s="17" t="s">
        <v>18</v>
      </c>
      <c r="E129" s="17" t="s">
        <v>19</v>
      </c>
      <c r="F129" s="18">
        <v>0.35299999999999998</v>
      </c>
      <c r="G129" s="17" t="str">
        <f>IF(COUNTIFS('Question-Article-Match'!$A:$A,A129,'Question-Article-Match'!$C:$C,C129,'Question-Article-Match'!$F:$F,"direct match")&gt;0,"direct match",IF(COUNTIFS('Question-Article-Match'!$A:$A,A129,'Question-Article-Match'!$C:$C,C129,'Question-Article-Match'!$F:$F,"indirect match")&gt;0,"indirect match","no match"))</f>
        <v>no match</v>
      </c>
      <c r="H129" s="17">
        <f t="shared" si="11"/>
        <v>0</v>
      </c>
      <c r="I129" s="17">
        <f t="shared" si="12"/>
        <v>1</v>
      </c>
      <c r="J129" s="17" t="str">
        <f t="shared" si="13"/>
        <v>FP</v>
      </c>
    </row>
    <row r="130" spans="1:10">
      <c r="A130" s="17" t="s">
        <v>135</v>
      </c>
      <c r="B130" s="17" t="s">
        <v>136</v>
      </c>
      <c r="C130" s="17">
        <v>3</v>
      </c>
      <c r="D130" s="17" t="s">
        <v>26</v>
      </c>
      <c r="E130" s="17" t="s">
        <v>27</v>
      </c>
      <c r="F130" s="18">
        <v>0.33700000000000002</v>
      </c>
      <c r="G130" s="17" t="str">
        <f>IF(COUNTIFS('Question-Article-Match'!$A:$A,A130,'Question-Article-Match'!$C:$C,C130,'Question-Article-Match'!$F:$F,"direct match")&gt;0,"direct match",IF(COUNTIFS('Question-Article-Match'!$A:$A,A130,'Question-Article-Match'!$C:$C,C130,'Question-Article-Match'!$F:$F,"indirect match")&gt;0,"indirect match","no match"))</f>
        <v>no match</v>
      </c>
      <c r="H130" s="17">
        <f t="shared" ref="H130:H193" si="14">IF(G130="no match",0,1)</f>
        <v>0</v>
      </c>
      <c r="I130" s="17">
        <f t="shared" ref="I130:I193" si="15">IF(F130&gt;=$N$2,1,0)</f>
        <v>0</v>
      </c>
      <c r="J130" s="17" t="str">
        <f t="shared" ref="J130:J193" si="16">IF(AND(H130=1,I130=1),"TP",IF(AND(H130=0,I130=1),"FP",IF(H130=1,"FN","TN")))</f>
        <v>TN</v>
      </c>
    </row>
    <row r="131" spans="1:10">
      <c r="A131" s="17" t="s">
        <v>135</v>
      </c>
      <c r="B131" s="17" t="s">
        <v>136</v>
      </c>
      <c r="C131" s="17">
        <v>4</v>
      </c>
      <c r="D131" s="17" t="s">
        <v>64</v>
      </c>
      <c r="E131" s="17" t="s">
        <v>65</v>
      </c>
      <c r="F131" s="18">
        <v>0.1132</v>
      </c>
      <c r="G131" s="17" t="str">
        <f>IF(COUNTIFS('Question-Article-Match'!$A:$A,A131,'Question-Article-Match'!$C:$C,C131,'Question-Article-Match'!$F:$F,"direct match")&gt;0,"direct match",IF(COUNTIFS('Question-Article-Match'!$A:$A,A131,'Question-Article-Match'!$C:$C,C131,'Question-Article-Match'!$F:$F,"indirect match")&gt;0,"indirect match","no match"))</f>
        <v>no match</v>
      </c>
      <c r="H131" s="17">
        <f t="shared" si="14"/>
        <v>0</v>
      </c>
      <c r="I131" s="17">
        <f t="shared" si="15"/>
        <v>0</v>
      </c>
      <c r="J131" s="17" t="str">
        <f t="shared" si="16"/>
        <v>TN</v>
      </c>
    </row>
    <row r="132" spans="1:10">
      <c r="A132" s="17" t="s">
        <v>135</v>
      </c>
      <c r="B132" s="17" t="s">
        <v>136</v>
      </c>
      <c r="C132" s="17">
        <v>5</v>
      </c>
      <c r="D132" s="17" t="s">
        <v>36</v>
      </c>
      <c r="E132" s="17" t="s">
        <v>37</v>
      </c>
      <c r="F132" s="18">
        <v>0.27160000000000001</v>
      </c>
      <c r="G132" s="17" t="str">
        <f>IF(COUNTIFS('Question-Article-Match'!$A:$A,A132,'Question-Article-Match'!$C:$C,C132,'Question-Article-Match'!$F:$F,"direct match")&gt;0,"direct match",IF(COUNTIFS('Question-Article-Match'!$A:$A,A132,'Question-Article-Match'!$C:$C,C132,'Question-Article-Match'!$F:$F,"indirect match")&gt;0,"indirect match","no match"))</f>
        <v>no match</v>
      </c>
      <c r="H132" s="17">
        <f t="shared" si="14"/>
        <v>0</v>
      </c>
      <c r="I132" s="17">
        <f t="shared" si="15"/>
        <v>0</v>
      </c>
      <c r="J132" s="17" t="str">
        <f t="shared" si="16"/>
        <v>TN</v>
      </c>
    </row>
    <row r="133" spans="1:10">
      <c r="A133" s="17" t="s">
        <v>135</v>
      </c>
      <c r="B133" s="17" t="s">
        <v>136</v>
      </c>
      <c r="C133" s="17">
        <v>6</v>
      </c>
      <c r="D133" s="17" t="s">
        <v>28</v>
      </c>
      <c r="E133" s="17" t="s">
        <v>29</v>
      </c>
      <c r="F133" s="18">
        <v>0.21490000000000001</v>
      </c>
      <c r="G133" s="17" t="str">
        <f>IF(COUNTIFS('Question-Article-Match'!$A:$A,A133,'Question-Article-Match'!$C:$C,C133,'Question-Article-Match'!$F:$F,"direct match")&gt;0,"direct match",IF(COUNTIFS('Question-Article-Match'!$A:$A,A133,'Question-Article-Match'!$C:$C,C133,'Question-Article-Match'!$F:$F,"indirect match")&gt;0,"indirect match","no match"))</f>
        <v>no match</v>
      </c>
      <c r="H133" s="17">
        <f t="shared" si="14"/>
        <v>0</v>
      </c>
      <c r="I133" s="17">
        <f t="shared" si="15"/>
        <v>0</v>
      </c>
      <c r="J133" s="17" t="str">
        <f t="shared" si="16"/>
        <v>TN</v>
      </c>
    </row>
    <row r="134" spans="1:10">
      <c r="A134" s="17" t="s">
        <v>135</v>
      </c>
      <c r="B134" s="17" t="s">
        <v>136</v>
      </c>
      <c r="C134" s="17">
        <v>7</v>
      </c>
      <c r="D134" s="17" t="s">
        <v>75</v>
      </c>
      <c r="E134" s="17" t="s">
        <v>76</v>
      </c>
      <c r="F134" s="18">
        <v>0.16839999999999999</v>
      </c>
      <c r="G134" s="17" t="str">
        <f>IF(COUNTIFS('Question-Article-Match'!$A:$A,A134,'Question-Article-Match'!$C:$C,C134,'Question-Article-Match'!$F:$F,"direct match")&gt;0,"direct match",IF(COUNTIFS('Question-Article-Match'!$A:$A,A134,'Question-Article-Match'!$C:$C,C134,'Question-Article-Match'!$F:$F,"indirect match")&gt;0,"indirect match","no match"))</f>
        <v>no match</v>
      </c>
      <c r="H134" s="17">
        <f t="shared" si="14"/>
        <v>0</v>
      </c>
      <c r="I134" s="17">
        <f t="shared" si="15"/>
        <v>0</v>
      </c>
      <c r="J134" s="17" t="str">
        <f t="shared" si="16"/>
        <v>TN</v>
      </c>
    </row>
    <row r="135" spans="1:10">
      <c r="A135" s="17" t="s">
        <v>135</v>
      </c>
      <c r="B135" s="17" t="s">
        <v>136</v>
      </c>
      <c r="C135" s="17">
        <v>8</v>
      </c>
      <c r="D135" s="17" t="s">
        <v>40</v>
      </c>
      <c r="E135" s="17" t="s">
        <v>41</v>
      </c>
      <c r="F135" s="18">
        <v>0.26400000000000001</v>
      </c>
      <c r="G135" s="17" t="str">
        <f>IF(COUNTIFS('Question-Article-Match'!$A:$A,A135,'Question-Article-Match'!$C:$C,C135,'Question-Article-Match'!$F:$F,"direct match")&gt;0,"direct match",IF(COUNTIFS('Question-Article-Match'!$A:$A,A135,'Question-Article-Match'!$C:$C,C135,'Question-Article-Match'!$F:$F,"indirect match")&gt;0,"indirect match","no match"))</f>
        <v>no match</v>
      </c>
      <c r="H135" s="17">
        <f t="shared" si="14"/>
        <v>0</v>
      </c>
      <c r="I135" s="17">
        <f t="shared" si="15"/>
        <v>0</v>
      </c>
      <c r="J135" s="17" t="str">
        <f t="shared" si="16"/>
        <v>TN</v>
      </c>
    </row>
    <row r="136" spans="1:10">
      <c r="A136" s="17" t="s">
        <v>135</v>
      </c>
      <c r="B136" s="17" t="s">
        <v>136</v>
      </c>
      <c r="C136" s="17">
        <v>9</v>
      </c>
      <c r="D136" s="17" t="s">
        <v>10</v>
      </c>
      <c r="E136" s="17" t="s">
        <v>11</v>
      </c>
      <c r="F136" s="18">
        <v>0.15840000000000001</v>
      </c>
      <c r="G136" s="17" t="str">
        <f>IF(COUNTIFS('Question-Article-Match'!$A:$A,A136,'Question-Article-Match'!$C:$C,C136,'Question-Article-Match'!$F:$F,"direct match")&gt;0,"direct match",IF(COUNTIFS('Question-Article-Match'!$A:$A,A136,'Question-Article-Match'!$C:$C,C136,'Question-Article-Match'!$F:$F,"indirect match")&gt;0,"indirect match","no match"))</f>
        <v>no match</v>
      </c>
      <c r="H136" s="17">
        <f t="shared" si="14"/>
        <v>0</v>
      </c>
      <c r="I136" s="17">
        <f t="shared" si="15"/>
        <v>0</v>
      </c>
      <c r="J136" s="17" t="str">
        <f t="shared" si="16"/>
        <v>TN</v>
      </c>
    </row>
    <row r="137" spans="1:10">
      <c r="A137" s="17" t="s">
        <v>135</v>
      </c>
      <c r="B137" s="17" t="s">
        <v>136</v>
      </c>
      <c r="C137" s="17">
        <v>10</v>
      </c>
      <c r="D137" s="17" t="s">
        <v>32</v>
      </c>
      <c r="E137" s="17" t="s">
        <v>33</v>
      </c>
      <c r="F137" s="18">
        <v>0.22570000000000001</v>
      </c>
      <c r="G137" s="17" t="str">
        <f>IF(COUNTIFS('Question-Article-Match'!$A:$A,A137,'Question-Article-Match'!$C:$C,C137,'Question-Article-Match'!$F:$F,"direct match")&gt;0,"direct match",IF(COUNTIFS('Question-Article-Match'!$A:$A,A137,'Question-Article-Match'!$C:$C,C137,'Question-Article-Match'!$F:$F,"indirect match")&gt;0,"indirect match","no match"))</f>
        <v>no match</v>
      </c>
      <c r="H137" s="17">
        <f t="shared" si="14"/>
        <v>0</v>
      </c>
      <c r="I137" s="17">
        <f t="shared" si="15"/>
        <v>0</v>
      </c>
      <c r="J137" s="17" t="str">
        <f t="shared" si="16"/>
        <v>TN</v>
      </c>
    </row>
    <row r="138" spans="1:10">
      <c r="A138" s="17" t="s">
        <v>135</v>
      </c>
      <c r="B138" s="17" t="s">
        <v>136</v>
      </c>
      <c r="C138" s="17">
        <v>11</v>
      </c>
      <c r="D138" s="17" t="s">
        <v>89</v>
      </c>
      <c r="E138" s="17" t="s">
        <v>90</v>
      </c>
      <c r="F138" s="18">
        <v>0.23119999999999999</v>
      </c>
      <c r="G138" s="17" t="str">
        <f>IF(COUNTIFS('Question-Article-Match'!$A:$A,A138,'Question-Article-Match'!$C:$C,C138,'Question-Article-Match'!$F:$F,"direct match")&gt;0,"direct match",IF(COUNTIFS('Question-Article-Match'!$A:$A,A138,'Question-Article-Match'!$C:$C,C138,'Question-Article-Match'!$F:$F,"indirect match")&gt;0,"indirect match","no match"))</f>
        <v>no match</v>
      </c>
      <c r="H138" s="17">
        <f t="shared" si="14"/>
        <v>0</v>
      </c>
      <c r="I138" s="17">
        <f t="shared" si="15"/>
        <v>0</v>
      </c>
      <c r="J138" s="17" t="str">
        <f t="shared" si="16"/>
        <v>TN</v>
      </c>
    </row>
    <row r="139" spans="1:10">
      <c r="A139" s="17" t="s">
        <v>135</v>
      </c>
      <c r="B139" s="17" t="s">
        <v>136</v>
      </c>
      <c r="C139" s="17">
        <v>12</v>
      </c>
      <c r="D139" s="17" t="s">
        <v>20</v>
      </c>
      <c r="E139" s="17" t="s">
        <v>21</v>
      </c>
      <c r="F139" s="18">
        <v>0.29630000000000001</v>
      </c>
      <c r="G139" s="17" t="str">
        <f>IF(COUNTIFS('Question-Article-Match'!$A:$A,A139,'Question-Article-Match'!$C:$C,C139,'Question-Article-Match'!$F:$F,"direct match")&gt;0,"direct match",IF(COUNTIFS('Question-Article-Match'!$A:$A,A139,'Question-Article-Match'!$C:$C,C139,'Question-Article-Match'!$F:$F,"indirect match")&gt;0,"indirect match","no match"))</f>
        <v>no match</v>
      </c>
      <c r="H139" s="17">
        <f t="shared" si="14"/>
        <v>0</v>
      </c>
      <c r="I139" s="17">
        <f t="shared" si="15"/>
        <v>0</v>
      </c>
      <c r="J139" s="17" t="str">
        <f t="shared" si="16"/>
        <v>TN</v>
      </c>
    </row>
    <row r="140" spans="1:10">
      <c r="A140" s="17" t="s">
        <v>135</v>
      </c>
      <c r="B140" s="17" t="s">
        <v>136</v>
      </c>
      <c r="C140" s="17">
        <v>13</v>
      </c>
      <c r="D140" s="17" t="s">
        <v>34</v>
      </c>
      <c r="E140" s="17" t="s">
        <v>35</v>
      </c>
      <c r="F140" s="18">
        <v>0.18010000000000001</v>
      </c>
      <c r="G140" s="17" t="str">
        <f>IF(COUNTIFS('Question-Article-Match'!$A:$A,A140,'Question-Article-Match'!$C:$C,C140,'Question-Article-Match'!$F:$F,"direct match")&gt;0,"direct match",IF(COUNTIFS('Question-Article-Match'!$A:$A,A140,'Question-Article-Match'!$C:$C,C140,'Question-Article-Match'!$F:$F,"indirect match")&gt;0,"indirect match","no match"))</f>
        <v>no match</v>
      </c>
      <c r="H140" s="17">
        <f t="shared" si="14"/>
        <v>0</v>
      </c>
      <c r="I140" s="17">
        <f t="shared" si="15"/>
        <v>0</v>
      </c>
      <c r="J140" s="17" t="str">
        <f t="shared" si="16"/>
        <v>TN</v>
      </c>
    </row>
    <row r="141" spans="1:10">
      <c r="A141" s="17" t="s">
        <v>135</v>
      </c>
      <c r="B141" s="17" t="s">
        <v>136</v>
      </c>
      <c r="C141" s="17">
        <v>14</v>
      </c>
      <c r="D141" s="17" t="s">
        <v>16</v>
      </c>
      <c r="E141" s="17" t="s">
        <v>17</v>
      </c>
      <c r="F141" s="18">
        <v>0.46529999999999999</v>
      </c>
      <c r="G141" s="17" t="str">
        <f>IF(COUNTIFS('Question-Article-Match'!$A:$A,A141,'Question-Article-Match'!$C:$C,C141,'Question-Article-Match'!$F:$F,"direct match")&gt;0,"direct match",IF(COUNTIFS('Question-Article-Match'!$A:$A,A141,'Question-Article-Match'!$C:$C,C141,'Question-Article-Match'!$F:$F,"indirect match")&gt;0,"indirect match","no match"))</f>
        <v>no match</v>
      </c>
      <c r="H141" s="17">
        <f t="shared" si="14"/>
        <v>0</v>
      </c>
      <c r="I141" s="17">
        <f t="shared" si="15"/>
        <v>1</v>
      </c>
      <c r="J141" s="17" t="str">
        <f t="shared" si="16"/>
        <v>FP</v>
      </c>
    </row>
    <row r="142" spans="1:10">
      <c r="A142" s="17" t="s">
        <v>135</v>
      </c>
      <c r="B142" s="17" t="s">
        <v>136</v>
      </c>
      <c r="C142" s="17">
        <v>15</v>
      </c>
      <c r="D142" s="17" t="s">
        <v>42</v>
      </c>
      <c r="E142" s="17" t="s">
        <v>43</v>
      </c>
      <c r="F142" s="18">
        <v>0.248</v>
      </c>
      <c r="G142" s="17" t="str">
        <f>IF(COUNTIFS('Question-Article-Match'!$A:$A,A142,'Question-Article-Match'!$C:$C,C142,'Question-Article-Match'!$F:$F,"direct match")&gt;0,"direct match",IF(COUNTIFS('Question-Article-Match'!$A:$A,A142,'Question-Article-Match'!$C:$C,C142,'Question-Article-Match'!$F:$F,"indirect match")&gt;0,"indirect match","no match"))</f>
        <v>indirect match</v>
      </c>
      <c r="H142" s="17">
        <f t="shared" si="14"/>
        <v>1</v>
      </c>
      <c r="I142" s="17">
        <f t="shared" si="15"/>
        <v>0</v>
      </c>
      <c r="J142" s="17" t="str">
        <f t="shared" si="16"/>
        <v>FN</v>
      </c>
    </row>
    <row r="143" spans="1:10">
      <c r="A143" s="17" t="s">
        <v>135</v>
      </c>
      <c r="B143" s="17" t="s">
        <v>136</v>
      </c>
      <c r="C143" s="17">
        <v>16</v>
      </c>
      <c r="D143" s="17" t="s">
        <v>12</v>
      </c>
      <c r="E143" s="17" t="s">
        <v>13</v>
      </c>
      <c r="F143" s="18">
        <v>0.47860000000000003</v>
      </c>
      <c r="G143" s="17" t="str">
        <f>IF(COUNTIFS('Question-Article-Match'!$A:$A,A143,'Question-Article-Match'!$C:$C,C143,'Question-Article-Match'!$F:$F,"direct match")&gt;0,"direct match",IF(COUNTIFS('Question-Article-Match'!$A:$A,A143,'Question-Article-Match'!$C:$C,C143,'Question-Article-Match'!$F:$F,"indirect match")&gt;0,"indirect match","no match"))</f>
        <v>no match</v>
      </c>
      <c r="H143" s="17">
        <f t="shared" si="14"/>
        <v>0</v>
      </c>
      <c r="I143" s="17">
        <f t="shared" si="15"/>
        <v>1</v>
      </c>
      <c r="J143" s="17" t="str">
        <f t="shared" si="16"/>
        <v>FP</v>
      </c>
    </row>
    <row r="144" spans="1:10">
      <c r="A144" s="17" t="s">
        <v>135</v>
      </c>
      <c r="B144" s="17" t="s">
        <v>136</v>
      </c>
      <c r="C144" s="17">
        <v>17</v>
      </c>
      <c r="D144" s="17" t="s">
        <v>108</v>
      </c>
      <c r="E144" s="17" t="s">
        <v>109</v>
      </c>
      <c r="F144" s="18">
        <v>0.1206</v>
      </c>
      <c r="G144" s="17" t="str">
        <f>IF(COUNTIFS('Question-Article-Match'!$A:$A,A144,'Question-Article-Match'!$C:$C,C144,'Question-Article-Match'!$F:$F,"direct match")&gt;0,"direct match",IF(COUNTIFS('Question-Article-Match'!$A:$A,A144,'Question-Article-Match'!$C:$C,C144,'Question-Article-Match'!$F:$F,"indirect match")&gt;0,"indirect match","no match"))</f>
        <v>no match</v>
      </c>
      <c r="H144" s="17">
        <f t="shared" si="14"/>
        <v>0</v>
      </c>
      <c r="I144" s="17">
        <f t="shared" si="15"/>
        <v>0</v>
      </c>
      <c r="J144" s="17" t="str">
        <f t="shared" si="16"/>
        <v>TN</v>
      </c>
    </row>
    <row r="145" spans="1:10">
      <c r="A145" s="17" t="s">
        <v>135</v>
      </c>
      <c r="B145" s="17" t="s">
        <v>136</v>
      </c>
      <c r="C145" s="17">
        <v>18</v>
      </c>
      <c r="D145" s="17" t="s">
        <v>24</v>
      </c>
      <c r="E145" s="17" t="s">
        <v>25</v>
      </c>
      <c r="F145" s="18">
        <v>0.32490000000000002</v>
      </c>
      <c r="G145" s="17" t="str">
        <f>IF(COUNTIFS('Question-Article-Match'!$A:$A,A145,'Question-Article-Match'!$C:$C,C145,'Question-Article-Match'!$F:$F,"direct match")&gt;0,"direct match",IF(COUNTIFS('Question-Article-Match'!$A:$A,A145,'Question-Article-Match'!$C:$C,C145,'Question-Article-Match'!$F:$F,"indirect match")&gt;0,"indirect match","no match"))</f>
        <v>no match</v>
      </c>
      <c r="H145" s="17">
        <f t="shared" si="14"/>
        <v>0</v>
      </c>
      <c r="I145" s="17">
        <f t="shared" si="15"/>
        <v>0</v>
      </c>
      <c r="J145" s="17" t="str">
        <f t="shared" si="16"/>
        <v>TN</v>
      </c>
    </row>
    <row r="146" spans="1:10">
      <c r="A146" s="17" t="s">
        <v>135</v>
      </c>
      <c r="B146" s="17" t="s">
        <v>136</v>
      </c>
      <c r="C146" s="17">
        <v>19</v>
      </c>
      <c r="D146" s="17" t="s">
        <v>14</v>
      </c>
      <c r="E146" s="17" t="s">
        <v>15</v>
      </c>
      <c r="F146" s="18">
        <v>0.51380000000000003</v>
      </c>
      <c r="G146" s="17" t="str">
        <f>IF(COUNTIFS('Question-Article-Match'!$A:$A,A146,'Question-Article-Match'!$C:$C,C146,'Question-Article-Match'!$F:$F,"direct match")&gt;0,"direct match",IF(COUNTIFS('Question-Article-Match'!$A:$A,A146,'Question-Article-Match'!$C:$C,C146,'Question-Article-Match'!$F:$F,"indirect match")&gt;0,"indirect match","no match"))</f>
        <v>no match</v>
      </c>
      <c r="H146" s="17">
        <f t="shared" si="14"/>
        <v>0</v>
      </c>
      <c r="I146" s="17">
        <f t="shared" si="15"/>
        <v>1</v>
      </c>
      <c r="J146" s="17" t="str">
        <f t="shared" si="16"/>
        <v>FP</v>
      </c>
    </row>
    <row r="147" spans="1:10">
      <c r="A147" s="17" t="s">
        <v>135</v>
      </c>
      <c r="B147" s="17" t="s">
        <v>136</v>
      </c>
      <c r="C147" s="17">
        <v>20</v>
      </c>
      <c r="D147" s="17" t="s">
        <v>113</v>
      </c>
      <c r="E147" s="17" t="s">
        <v>114</v>
      </c>
      <c r="F147" s="18">
        <v>0.1048</v>
      </c>
      <c r="G147" s="17" t="str">
        <f>IF(COUNTIFS('Question-Article-Match'!$A:$A,A147,'Question-Article-Match'!$C:$C,C147,'Question-Article-Match'!$F:$F,"direct match")&gt;0,"direct match",IF(COUNTIFS('Question-Article-Match'!$A:$A,A147,'Question-Article-Match'!$C:$C,C147,'Question-Article-Match'!$F:$F,"indirect match")&gt;0,"indirect match","no match"))</f>
        <v>no match</v>
      </c>
      <c r="H147" s="17">
        <f t="shared" si="14"/>
        <v>0</v>
      </c>
      <c r="I147" s="17">
        <f t="shared" si="15"/>
        <v>0</v>
      </c>
      <c r="J147" s="17" t="str">
        <f t="shared" si="16"/>
        <v>TN</v>
      </c>
    </row>
    <row r="148" spans="1:10">
      <c r="A148" s="17" t="s">
        <v>135</v>
      </c>
      <c r="B148" s="17" t="s">
        <v>136</v>
      </c>
      <c r="C148" s="17">
        <v>21</v>
      </c>
      <c r="D148" s="17" t="s">
        <v>46</v>
      </c>
      <c r="E148" s="17" t="s">
        <v>47</v>
      </c>
      <c r="F148" s="18">
        <v>0.1409</v>
      </c>
      <c r="G148" s="17" t="str">
        <f>IF(COUNTIFS('Question-Article-Match'!$A:$A,A148,'Question-Article-Match'!$C:$C,C148,'Question-Article-Match'!$F:$F,"direct match")&gt;0,"direct match",IF(COUNTIFS('Question-Article-Match'!$A:$A,A148,'Question-Article-Match'!$C:$C,C148,'Question-Article-Match'!$F:$F,"indirect match")&gt;0,"indirect match","no match"))</f>
        <v>no match</v>
      </c>
      <c r="H148" s="17">
        <f t="shared" si="14"/>
        <v>0</v>
      </c>
      <c r="I148" s="17">
        <f t="shared" si="15"/>
        <v>0</v>
      </c>
      <c r="J148" s="17" t="str">
        <f t="shared" si="16"/>
        <v>TN</v>
      </c>
    </row>
    <row r="149" spans="1:10">
      <c r="A149" s="17" t="s">
        <v>138</v>
      </c>
      <c r="B149" s="17" t="s">
        <v>139</v>
      </c>
      <c r="C149" s="17">
        <v>1</v>
      </c>
      <c r="D149" s="17" t="s">
        <v>22</v>
      </c>
      <c r="E149" s="17" t="s">
        <v>23</v>
      </c>
      <c r="F149" s="18">
        <v>0.55389999999999995</v>
      </c>
      <c r="G149" s="17" t="str">
        <f>IF(COUNTIFS('Question-Article-Match'!$A:$A,A149,'Question-Article-Match'!$C:$C,C149,'Question-Article-Match'!$F:$F,"direct match")&gt;0,"direct match",IF(COUNTIFS('Question-Article-Match'!$A:$A,A149,'Question-Article-Match'!$C:$C,C149,'Question-Article-Match'!$F:$F,"indirect match")&gt;0,"indirect match","no match"))</f>
        <v>no match</v>
      </c>
      <c r="H149" s="17">
        <f t="shared" si="14"/>
        <v>0</v>
      </c>
      <c r="I149" s="17">
        <f t="shared" si="15"/>
        <v>1</v>
      </c>
      <c r="J149" s="17" t="str">
        <f t="shared" si="16"/>
        <v>FP</v>
      </c>
    </row>
    <row r="150" spans="1:10">
      <c r="A150" s="17" t="s">
        <v>138</v>
      </c>
      <c r="B150" s="17" t="s">
        <v>139</v>
      </c>
      <c r="C150" s="17">
        <v>2</v>
      </c>
      <c r="D150" s="17" t="s">
        <v>18</v>
      </c>
      <c r="E150" s="17" t="s">
        <v>19</v>
      </c>
      <c r="F150" s="18">
        <v>0.57920000000000005</v>
      </c>
      <c r="G150" s="17" t="str">
        <f>IF(COUNTIFS('Question-Article-Match'!$A:$A,A150,'Question-Article-Match'!$C:$C,C150,'Question-Article-Match'!$F:$F,"direct match")&gt;0,"direct match",IF(COUNTIFS('Question-Article-Match'!$A:$A,A150,'Question-Article-Match'!$C:$C,C150,'Question-Article-Match'!$F:$F,"indirect match")&gt;0,"indirect match","no match"))</f>
        <v>no match</v>
      </c>
      <c r="H150" s="17">
        <f t="shared" si="14"/>
        <v>0</v>
      </c>
      <c r="I150" s="17">
        <f t="shared" si="15"/>
        <v>1</v>
      </c>
      <c r="J150" s="17" t="str">
        <f t="shared" si="16"/>
        <v>FP</v>
      </c>
    </row>
    <row r="151" spans="1:10">
      <c r="A151" s="17" t="s">
        <v>138</v>
      </c>
      <c r="B151" s="17" t="s">
        <v>139</v>
      </c>
      <c r="C151" s="17">
        <v>3</v>
      </c>
      <c r="D151" s="17" t="s">
        <v>26</v>
      </c>
      <c r="E151" s="17" t="s">
        <v>27</v>
      </c>
      <c r="F151" s="18">
        <v>0.52549999999999997</v>
      </c>
      <c r="G151" s="17" t="str">
        <f>IF(COUNTIFS('Question-Article-Match'!$A:$A,A151,'Question-Article-Match'!$C:$C,C151,'Question-Article-Match'!$F:$F,"direct match")&gt;0,"direct match",IF(COUNTIFS('Question-Article-Match'!$A:$A,A151,'Question-Article-Match'!$C:$C,C151,'Question-Article-Match'!$F:$F,"indirect match")&gt;0,"indirect match","no match"))</f>
        <v>indirect match</v>
      </c>
      <c r="H151" s="17">
        <f t="shared" si="14"/>
        <v>1</v>
      </c>
      <c r="I151" s="17">
        <f t="shared" si="15"/>
        <v>1</v>
      </c>
      <c r="J151" s="17" t="str">
        <f t="shared" si="16"/>
        <v>TP</v>
      </c>
    </row>
    <row r="152" spans="1:10">
      <c r="A152" s="17" t="s">
        <v>138</v>
      </c>
      <c r="B152" s="17" t="s">
        <v>139</v>
      </c>
      <c r="C152" s="17">
        <v>4</v>
      </c>
      <c r="D152" s="17" t="s">
        <v>64</v>
      </c>
      <c r="E152" s="17" t="s">
        <v>65</v>
      </c>
      <c r="F152" s="18">
        <v>1.77E-2</v>
      </c>
      <c r="G152" s="17" t="str">
        <f>IF(COUNTIFS('Question-Article-Match'!$A:$A,A152,'Question-Article-Match'!$C:$C,C152,'Question-Article-Match'!$F:$F,"direct match")&gt;0,"direct match",IF(COUNTIFS('Question-Article-Match'!$A:$A,A152,'Question-Article-Match'!$C:$C,C152,'Question-Article-Match'!$F:$F,"indirect match")&gt;0,"indirect match","no match"))</f>
        <v>no match</v>
      </c>
      <c r="H152" s="17">
        <f t="shared" si="14"/>
        <v>0</v>
      </c>
      <c r="I152" s="17">
        <f t="shared" si="15"/>
        <v>0</v>
      </c>
      <c r="J152" s="17" t="str">
        <f t="shared" si="16"/>
        <v>TN</v>
      </c>
    </row>
    <row r="153" spans="1:10">
      <c r="A153" s="17" t="s">
        <v>138</v>
      </c>
      <c r="B153" s="17" t="s">
        <v>139</v>
      </c>
      <c r="C153" s="17">
        <v>5</v>
      </c>
      <c r="D153" s="17" t="s">
        <v>36</v>
      </c>
      <c r="E153" s="17" t="s">
        <v>37</v>
      </c>
      <c r="F153" s="18">
        <v>0.24460000000000001</v>
      </c>
      <c r="G153" s="17" t="str">
        <f>IF(COUNTIFS('Question-Article-Match'!$A:$A,A153,'Question-Article-Match'!$C:$C,C153,'Question-Article-Match'!$F:$F,"direct match")&gt;0,"direct match",IF(COUNTIFS('Question-Article-Match'!$A:$A,A153,'Question-Article-Match'!$C:$C,C153,'Question-Article-Match'!$F:$F,"indirect match")&gt;0,"indirect match","no match"))</f>
        <v>no match</v>
      </c>
      <c r="H153" s="17">
        <f t="shared" si="14"/>
        <v>0</v>
      </c>
      <c r="I153" s="17">
        <f t="shared" si="15"/>
        <v>0</v>
      </c>
      <c r="J153" s="17" t="str">
        <f t="shared" si="16"/>
        <v>TN</v>
      </c>
    </row>
    <row r="154" spans="1:10">
      <c r="A154" s="17" t="s">
        <v>138</v>
      </c>
      <c r="B154" s="17" t="s">
        <v>139</v>
      </c>
      <c r="C154" s="17">
        <v>6</v>
      </c>
      <c r="D154" s="17" t="s">
        <v>28</v>
      </c>
      <c r="E154" s="17" t="s">
        <v>29</v>
      </c>
      <c r="F154" s="18">
        <v>0.2177</v>
      </c>
      <c r="G154" s="17" t="str">
        <f>IF(COUNTIFS('Question-Article-Match'!$A:$A,A154,'Question-Article-Match'!$C:$C,C154,'Question-Article-Match'!$F:$F,"direct match")&gt;0,"direct match",IF(COUNTIFS('Question-Article-Match'!$A:$A,A154,'Question-Article-Match'!$C:$C,C154,'Question-Article-Match'!$F:$F,"indirect match")&gt;0,"indirect match","no match"))</f>
        <v>no match</v>
      </c>
      <c r="H154" s="17">
        <f t="shared" si="14"/>
        <v>0</v>
      </c>
      <c r="I154" s="17">
        <f t="shared" si="15"/>
        <v>0</v>
      </c>
      <c r="J154" s="17" t="str">
        <f t="shared" si="16"/>
        <v>TN</v>
      </c>
    </row>
    <row r="155" spans="1:10">
      <c r="A155" s="17" t="s">
        <v>138</v>
      </c>
      <c r="B155" s="17" t="s">
        <v>139</v>
      </c>
      <c r="C155" s="17">
        <v>7</v>
      </c>
      <c r="D155" s="17" t="s">
        <v>75</v>
      </c>
      <c r="E155" s="17" t="s">
        <v>76</v>
      </c>
      <c r="F155" s="18">
        <v>0.35560000000000003</v>
      </c>
      <c r="G155" s="17" t="str">
        <f>IF(COUNTIFS('Question-Article-Match'!$A:$A,A155,'Question-Article-Match'!$C:$C,C155,'Question-Article-Match'!$F:$F,"direct match")&gt;0,"direct match",IF(COUNTIFS('Question-Article-Match'!$A:$A,A155,'Question-Article-Match'!$C:$C,C155,'Question-Article-Match'!$F:$F,"indirect match")&gt;0,"indirect match","no match"))</f>
        <v>no match</v>
      </c>
      <c r="H155" s="17">
        <f t="shared" si="14"/>
        <v>0</v>
      </c>
      <c r="I155" s="17">
        <f t="shared" si="15"/>
        <v>1</v>
      </c>
      <c r="J155" s="17" t="str">
        <f t="shared" si="16"/>
        <v>FP</v>
      </c>
    </row>
    <row r="156" spans="1:10">
      <c r="A156" s="17" t="s">
        <v>138</v>
      </c>
      <c r="B156" s="17" t="s">
        <v>139</v>
      </c>
      <c r="C156" s="17">
        <v>8</v>
      </c>
      <c r="D156" s="17" t="s">
        <v>40</v>
      </c>
      <c r="E156" s="17" t="s">
        <v>41</v>
      </c>
      <c r="F156" s="18">
        <v>0.34939999999999999</v>
      </c>
      <c r="G156" s="17" t="str">
        <f>IF(COUNTIFS('Question-Article-Match'!$A:$A,A156,'Question-Article-Match'!$C:$C,C156,'Question-Article-Match'!$F:$F,"direct match")&gt;0,"direct match",IF(COUNTIFS('Question-Article-Match'!$A:$A,A156,'Question-Article-Match'!$C:$C,C156,'Question-Article-Match'!$F:$F,"indirect match")&gt;0,"indirect match","no match"))</f>
        <v>no match</v>
      </c>
      <c r="H156" s="17">
        <f t="shared" si="14"/>
        <v>0</v>
      </c>
      <c r="I156" s="17">
        <f t="shared" si="15"/>
        <v>0</v>
      </c>
      <c r="J156" s="17" t="str">
        <f t="shared" si="16"/>
        <v>TN</v>
      </c>
    </row>
    <row r="157" spans="1:10">
      <c r="A157" s="17" t="s">
        <v>138</v>
      </c>
      <c r="B157" s="17" t="s">
        <v>139</v>
      </c>
      <c r="C157" s="17">
        <v>9</v>
      </c>
      <c r="D157" s="17" t="s">
        <v>10</v>
      </c>
      <c r="E157" s="17" t="s">
        <v>11</v>
      </c>
      <c r="F157" s="18">
        <v>0.33169999999999999</v>
      </c>
      <c r="G157" s="17" t="str">
        <f>IF(COUNTIFS('Question-Article-Match'!$A:$A,A157,'Question-Article-Match'!$C:$C,C157,'Question-Article-Match'!$F:$F,"direct match")&gt;0,"direct match",IF(COUNTIFS('Question-Article-Match'!$A:$A,A157,'Question-Article-Match'!$C:$C,C157,'Question-Article-Match'!$F:$F,"indirect match")&gt;0,"indirect match","no match"))</f>
        <v>no match</v>
      </c>
      <c r="H157" s="17">
        <f t="shared" si="14"/>
        <v>0</v>
      </c>
      <c r="I157" s="17">
        <f t="shared" si="15"/>
        <v>0</v>
      </c>
      <c r="J157" s="17" t="str">
        <f t="shared" si="16"/>
        <v>TN</v>
      </c>
    </row>
    <row r="158" spans="1:10">
      <c r="A158" s="17" t="s">
        <v>138</v>
      </c>
      <c r="B158" s="17" t="s">
        <v>139</v>
      </c>
      <c r="C158" s="17">
        <v>10</v>
      </c>
      <c r="D158" s="17" t="s">
        <v>32</v>
      </c>
      <c r="E158" s="17" t="s">
        <v>33</v>
      </c>
      <c r="F158" s="18">
        <v>0.34910000000000002</v>
      </c>
      <c r="G158" s="17" t="str">
        <f>IF(COUNTIFS('Question-Article-Match'!$A:$A,A158,'Question-Article-Match'!$C:$C,C158,'Question-Article-Match'!$F:$F,"direct match")&gt;0,"direct match",IF(COUNTIFS('Question-Article-Match'!$A:$A,A158,'Question-Article-Match'!$C:$C,C158,'Question-Article-Match'!$F:$F,"indirect match")&gt;0,"indirect match","no match"))</f>
        <v>no match</v>
      </c>
      <c r="H158" s="17">
        <f t="shared" si="14"/>
        <v>0</v>
      </c>
      <c r="I158" s="17">
        <f t="shared" si="15"/>
        <v>0</v>
      </c>
      <c r="J158" s="17" t="str">
        <f t="shared" si="16"/>
        <v>TN</v>
      </c>
    </row>
    <row r="159" spans="1:10">
      <c r="A159" s="17" t="s">
        <v>138</v>
      </c>
      <c r="B159" s="17" t="s">
        <v>139</v>
      </c>
      <c r="C159" s="17">
        <v>11</v>
      </c>
      <c r="D159" s="17" t="s">
        <v>89</v>
      </c>
      <c r="E159" s="17" t="s">
        <v>90</v>
      </c>
      <c r="F159" s="18">
        <v>0.14330000000000001</v>
      </c>
      <c r="G159" s="17" t="str">
        <f>IF(COUNTIFS('Question-Article-Match'!$A:$A,A159,'Question-Article-Match'!$C:$C,C159,'Question-Article-Match'!$F:$F,"direct match")&gt;0,"direct match",IF(COUNTIFS('Question-Article-Match'!$A:$A,A159,'Question-Article-Match'!$C:$C,C159,'Question-Article-Match'!$F:$F,"indirect match")&gt;0,"indirect match","no match"))</f>
        <v>no match</v>
      </c>
      <c r="H159" s="17">
        <f t="shared" si="14"/>
        <v>0</v>
      </c>
      <c r="I159" s="17">
        <f t="shared" si="15"/>
        <v>0</v>
      </c>
      <c r="J159" s="17" t="str">
        <f t="shared" si="16"/>
        <v>TN</v>
      </c>
    </row>
    <row r="160" spans="1:10">
      <c r="A160" s="17" t="s">
        <v>138</v>
      </c>
      <c r="B160" s="17" t="s">
        <v>139</v>
      </c>
      <c r="C160" s="17">
        <v>12</v>
      </c>
      <c r="D160" s="17" t="s">
        <v>20</v>
      </c>
      <c r="E160" s="17" t="s">
        <v>21</v>
      </c>
      <c r="F160" s="18">
        <v>0.26939999999999997</v>
      </c>
      <c r="G160" s="17" t="str">
        <f>IF(COUNTIFS('Question-Article-Match'!$A:$A,A160,'Question-Article-Match'!$C:$C,C160,'Question-Article-Match'!$F:$F,"direct match")&gt;0,"direct match",IF(COUNTIFS('Question-Article-Match'!$A:$A,A160,'Question-Article-Match'!$C:$C,C160,'Question-Article-Match'!$F:$F,"indirect match")&gt;0,"indirect match","no match"))</f>
        <v>no match</v>
      </c>
      <c r="H160" s="17">
        <f t="shared" si="14"/>
        <v>0</v>
      </c>
      <c r="I160" s="17">
        <f t="shared" si="15"/>
        <v>0</v>
      </c>
      <c r="J160" s="17" t="str">
        <f t="shared" si="16"/>
        <v>TN</v>
      </c>
    </row>
    <row r="161" spans="1:10">
      <c r="A161" s="17" t="s">
        <v>138</v>
      </c>
      <c r="B161" s="17" t="s">
        <v>139</v>
      </c>
      <c r="C161" s="17">
        <v>13</v>
      </c>
      <c r="D161" s="17" t="s">
        <v>34</v>
      </c>
      <c r="E161" s="17" t="s">
        <v>35</v>
      </c>
      <c r="F161" s="18">
        <v>0.23419999999999999</v>
      </c>
      <c r="G161" s="17" t="str">
        <f>IF(COUNTIFS('Question-Article-Match'!$A:$A,A161,'Question-Article-Match'!$C:$C,C161,'Question-Article-Match'!$F:$F,"direct match")&gt;0,"direct match",IF(COUNTIFS('Question-Article-Match'!$A:$A,A161,'Question-Article-Match'!$C:$C,C161,'Question-Article-Match'!$F:$F,"indirect match")&gt;0,"indirect match","no match"))</f>
        <v>no match</v>
      </c>
      <c r="H161" s="17">
        <f t="shared" si="14"/>
        <v>0</v>
      </c>
      <c r="I161" s="17">
        <f t="shared" si="15"/>
        <v>0</v>
      </c>
      <c r="J161" s="17" t="str">
        <f t="shared" si="16"/>
        <v>TN</v>
      </c>
    </row>
    <row r="162" spans="1:10">
      <c r="A162" s="17" t="s">
        <v>138</v>
      </c>
      <c r="B162" s="17" t="s">
        <v>139</v>
      </c>
      <c r="C162" s="17">
        <v>14</v>
      </c>
      <c r="D162" s="17" t="s">
        <v>16</v>
      </c>
      <c r="E162" s="17" t="s">
        <v>17</v>
      </c>
      <c r="F162" s="18">
        <v>0.56730000000000003</v>
      </c>
      <c r="G162" s="17" t="str">
        <f>IF(COUNTIFS('Question-Article-Match'!$A:$A,A162,'Question-Article-Match'!$C:$C,C162,'Question-Article-Match'!$F:$F,"direct match")&gt;0,"direct match",IF(COUNTIFS('Question-Article-Match'!$A:$A,A162,'Question-Article-Match'!$C:$C,C162,'Question-Article-Match'!$F:$F,"indirect match")&gt;0,"indirect match","no match"))</f>
        <v>direct match</v>
      </c>
      <c r="H162" s="17">
        <f t="shared" si="14"/>
        <v>1</v>
      </c>
      <c r="I162" s="17">
        <f t="shared" si="15"/>
        <v>1</v>
      </c>
      <c r="J162" s="17" t="str">
        <f t="shared" si="16"/>
        <v>TP</v>
      </c>
    </row>
    <row r="163" spans="1:10">
      <c r="A163" s="17" t="s">
        <v>138</v>
      </c>
      <c r="B163" s="17" t="s">
        <v>139</v>
      </c>
      <c r="C163" s="17">
        <v>15</v>
      </c>
      <c r="D163" s="17" t="s">
        <v>42</v>
      </c>
      <c r="E163" s="17" t="s">
        <v>43</v>
      </c>
      <c r="F163" s="18">
        <v>0.18529999999999999</v>
      </c>
      <c r="G163" s="17" t="str">
        <f>IF(COUNTIFS('Question-Article-Match'!$A:$A,A163,'Question-Article-Match'!$C:$C,C163,'Question-Article-Match'!$F:$F,"direct match")&gt;0,"direct match",IF(COUNTIFS('Question-Article-Match'!$A:$A,A163,'Question-Article-Match'!$C:$C,C163,'Question-Article-Match'!$F:$F,"indirect match")&gt;0,"indirect match","no match"))</f>
        <v>no match</v>
      </c>
      <c r="H163" s="17">
        <f t="shared" si="14"/>
        <v>0</v>
      </c>
      <c r="I163" s="17">
        <f t="shared" si="15"/>
        <v>0</v>
      </c>
      <c r="J163" s="17" t="str">
        <f t="shared" si="16"/>
        <v>TN</v>
      </c>
    </row>
    <row r="164" spans="1:10">
      <c r="A164" s="17" t="s">
        <v>138</v>
      </c>
      <c r="B164" s="17" t="s">
        <v>139</v>
      </c>
      <c r="C164" s="17">
        <v>16</v>
      </c>
      <c r="D164" s="17" t="s">
        <v>12</v>
      </c>
      <c r="E164" s="17" t="s">
        <v>13</v>
      </c>
      <c r="F164" s="18">
        <v>0.44929999999999998</v>
      </c>
      <c r="G164" s="17" t="str">
        <f>IF(COUNTIFS('Question-Article-Match'!$A:$A,A164,'Question-Article-Match'!$C:$C,C164,'Question-Article-Match'!$F:$F,"direct match")&gt;0,"direct match",IF(COUNTIFS('Question-Article-Match'!$A:$A,A164,'Question-Article-Match'!$C:$C,C164,'Question-Article-Match'!$F:$F,"indirect match")&gt;0,"indirect match","no match"))</f>
        <v>no match</v>
      </c>
      <c r="H164" s="17">
        <f t="shared" si="14"/>
        <v>0</v>
      </c>
      <c r="I164" s="17">
        <f t="shared" si="15"/>
        <v>1</v>
      </c>
      <c r="J164" s="17" t="str">
        <f t="shared" si="16"/>
        <v>FP</v>
      </c>
    </row>
    <row r="165" spans="1:10">
      <c r="A165" s="17" t="s">
        <v>138</v>
      </c>
      <c r="B165" s="17" t="s">
        <v>139</v>
      </c>
      <c r="C165" s="17">
        <v>17</v>
      </c>
      <c r="D165" s="17" t="s">
        <v>108</v>
      </c>
      <c r="E165" s="17" t="s">
        <v>109</v>
      </c>
      <c r="F165" s="18">
        <v>0.4461</v>
      </c>
      <c r="G165" s="17" t="str">
        <f>IF(COUNTIFS('Question-Article-Match'!$A:$A,A165,'Question-Article-Match'!$C:$C,C165,'Question-Article-Match'!$F:$F,"direct match")&gt;0,"direct match",IF(COUNTIFS('Question-Article-Match'!$A:$A,A165,'Question-Article-Match'!$C:$C,C165,'Question-Article-Match'!$F:$F,"indirect match")&gt;0,"indirect match","no match"))</f>
        <v>indirect match</v>
      </c>
      <c r="H165" s="17">
        <f t="shared" si="14"/>
        <v>1</v>
      </c>
      <c r="I165" s="17">
        <f t="shared" si="15"/>
        <v>1</v>
      </c>
      <c r="J165" s="17" t="str">
        <f t="shared" si="16"/>
        <v>TP</v>
      </c>
    </row>
    <row r="166" spans="1:10">
      <c r="A166" s="17" t="s">
        <v>138</v>
      </c>
      <c r="B166" s="17" t="s">
        <v>139</v>
      </c>
      <c r="C166" s="17">
        <v>18</v>
      </c>
      <c r="D166" s="17" t="s">
        <v>24</v>
      </c>
      <c r="E166" s="17" t="s">
        <v>25</v>
      </c>
      <c r="F166" s="18">
        <v>0.59330000000000005</v>
      </c>
      <c r="G166" s="17" t="str">
        <f>IF(COUNTIFS('Question-Article-Match'!$A:$A,A166,'Question-Article-Match'!$C:$C,C166,'Question-Article-Match'!$F:$F,"direct match")&gt;0,"direct match",IF(COUNTIFS('Question-Article-Match'!$A:$A,A166,'Question-Article-Match'!$C:$C,C166,'Question-Article-Match'!$F:$F,"indirect match")&gt;0,"indirect match","no match"))</f>
        <v>no match</v>
      </c>
      <c r="H166" s="17">
        <f t="shared" si="14"/>
        <v>0</v>
      </c>
      <c r="I166" s="17">
        <f t="shared" si="15"/>
        <v>1</v>
      </c>
      <c r="J166" s="17" t="str">
        <f t="shared" si="16"/>
        <v>FP</v>
      </c>
    </row>
    <row r="167" spans="1:10">
      <c r="A167" s="17" t="s">
        <v>138</v>
      </c>
      <c r="B167" s="17" t="s">
        <v>139</v>
      </c>
      <c r="C167" s="17">
        <v>19</v>
      </c>
      <c r="D167" s="17" t="s">
        <v>14</v>
      </c>
      <c r="E167" s="17" t="s">
        <v>15</v>
      </c>
      <c r="F167" s="18">
        <v>0.50570000000000004</v>
      </c>
      <c r="G167" s="17" t="str">
        <f>IF(COUNTIFS('Question-Article-Match'!$A:$A,A167,'Question-Article-Match'!$C:$C,C167,'Question-Article-Match'!$F:$F,"direct match")&gt;0,"direct match",IF(COUNTIFS('Question-Article-Match'!$A:$A,A167,'Question-Article-Match'!$C:$C,C167,'Question-Article-Match'!$F:$F,"indirect match")&gt;0,"indirect match","no match"))</f>
        <v>no match</v>
      </c>
      <c r="H167" s="17">
        <f t="shared" si="14"/>
        <v>0</v>
      </c>
      <c r="I167" s="17">
        <f t="shared" si="15"/>
        <v>1</v>
      </c>
      <c r="J167" s="17" t="str">
        <f t="shared" si="16"/>
        <v>FP</v>
      </c>
    </row>
    <row r="168" spans="1:10">
      <c r="A168" s="17" t="s">
        <v>138</v>
      </c>
      <c r="B168" s="17" t="s">
        <v>139</v>
      </c>
      <c r="C168" s="17">
        <v>20</v>
      </c>
      <c r="D168" s="17" t="s">
        <v>113</v>
      </c>
      <c r="E168" s="17" t="s">
        <v>114</v>
      </c>
      <c r="F168" s="18">
        <v>4.9599999999999998E-2</v>
      </c>
      <c r="G168" s="17" t="str">
        <f>IF(COUNTIFS('Question-Article-Match'!$A:$A,A168,'Question-Article-Match'!$C:$C,C168,'Question-Article-Match'!$F:$F,"direct match")&gt;0,"direct match",IF(COUNTIFS('Question-Article-Match'!$A:$A,A168,'Question-Article-Match'!$C:$C,C168,'Question-Article-Match'!$F:$F,"indirect match")&gt;0,"indirect match","no match"))</f>
        <v>no match</v>
      </c>
      <c r="H168" s="17">
        <f t="shared" si="14"/>
        <v>0</v>
      </c>
      <c r="I168" s="17">
        <f t="shared" si="15"/>
        <v>0</v>
      </c>
      <c r="J168" s="17" t="str">
        <f t="shared" si="16"/>
        <v>TN</v>
      </c>
    </row>
    <row r="169" spans="1:10">
      <c r="A169" s="17" t="s">
        <v>138</v>
      </c>
      <c r="B169" s="17" t="s">
        <v>139</v>
      </c>
      <c r="C169" s="17">
        <v>21</v>
      </c>
      <c r="D169" s="17" t="s">
        <v>46</v>
      </c>
      <c r="E169" s="17" t="s">
        <v>47</v>
      </c>
      <c r="F169" s="18">
        <v>0.44369999999999998</v>
      </c>
      <c r="G169" s="17" t="str">
        <f>IF(COUNTIFS('Question-Article-Match'!$A:$A,A169,'Question-Article-Match'!$C:$C,C169,'Question-Article-Match'!$F:$F,"direct match")&gt;0,"direct match",IF(COUNTIFS('Question-Article-Match'!$A:$A,A169,'Question-Article-Match'!$C:$C,C169,'Question-Article-Match'!$F:$F,"indirect match")&gt;0,"indirect match","no match"))</f>
        <v>indirect match</v>
      </c>
      <c r="H169" s="17">
        <f t="shared" si="14"/>
        <v>1</v>
      </c>
      <c r="I169" s="17">
        <f t="shared" si="15"/>
        <v>1</v>
      </c>
      <c r="J169" s="17" t="str">
        <f t="shared" si="16"/>
        <v>TP</v>
      </c>
    </row>
    <row r="170" spans="1:10">
      <c r="A170" s="17" t="s">
        <v>141</v>
      </c>
      <c r="B170" s="17" t="s">
        <v>142</v>
      </c>
      <c r="C170" s="17">
        <v>1</v>
      </c>
      <c r="D170" s="17" t="s">
        <v>22</v>
      </c>
      <c r="E170" s="17" t="s">
        <v>23</v>
      </c>
      <c r="F170" s="18">
        <v>5.7700000000000001E-2</v>
      </c>
      <c r="G170" s="17" t="str">
        <f>IF(COUNTIFS('Question-Article-Match'!$A:$A,A170,'Question-Article-Match'!$C:$C,C170,'Question-Article-Match'!$F:$F,"direct match")&gt;0,"direct match",IF(COUNTIFS('Question-Article-Match'!$A:$A,A170,'Question-Article-Match'!$C:$C,C170,'Question-Article-Match'!$F:$F,"indirect match")&gt;0,"indirect match","no match"))</f>
        <v>no match</v>
      </c>
      <c r="H170" s="17">
        <f t="shared" si="14"/>
        <v>0</v>
      </c>
      <c r="I170" s="17">
        <f t="shared" si="15"/>
        <v>0</v>
      </c>
      <c r="J170" s="17" t="str">
        <f t="shared" si="16"/>
        <v>TN</v>
      </c>
    </row>
    <row r="171" spans="1:10">
      <c r="A171" s="17" t="s">
        <v>141</v>
      </c>
      <c r="B171" s="17" t="s">
        <v>142</v>
      </c>
      <c r="C171" s="17">
        <v>2</v>
      </c>
      <c r="D171" s="17" t="s">
        <v>18</v>
      </c>
      <c r="E171" s="17" t="s">
        <v>19</v>
      </c>
      <c r="F171" s="18">
        <v>0.11310000000000001</v>
      </c>
      <c r="G171" s="17" t="str">
        <f>IF(COUNTIFS('Question-Article-Match'!$A:$A,A171,'Question-Article-Match'!$C:$C,C171,'Question-Article-Match'!$F:$F,"direct match")&gt;0,"direct match",IF(COUNTIFS('Question-Article-Match'!$A:$A,A171,'Question-Article-Match'!$C:$C,C171,'Question-Article-Match'!$F:$F,"indirect match")&gt;0,"indirect match","no match"))</f>
        <v>no match</v>
      </c>
      <c r="H171" s="17">
        <f t="shared" si="14"/>
        <v>0</v>
      </c>
      <c r="I171" s="17">
        <f t="shared" si="15"/>
        <v>0</v>
      </c>
      <c r="J171" s="17" t="str">
        <f t="shared" si="16"/>
        <v>TN</v>
      </c>
    </row>
    <row r="172" spans="1:10">
      <c r="A172" s="17" t="s">
        <v>141</v>
      </c>
      <c r="B172" s="17" t="s">
        <v>142</v>
      </c>
      <c r="C172" s="17">
        <v>3</v>
      </c>
      <c r="D172" s="17" t="s">
        <v>26</v>
      </c>
      <c r="E172" s="17" t="s">
        <v>27</v>
      </c>
      <c r="F172" s="18">
        <v>0.35010000000000002</v>
      </c>
      <c r="G172" s="17" t="str">
        <f>IF(COUNTIFS('Question-Article-Match'!$A:$A,A172,'Question-Article-Match'!$C:$C,C172,'Question-Article-Match'!$F:$F,"direct match")&gt;0,"direct match",IF(COUNTIFS('Question-Article-Match'!$A:$A,A172,'Question-Article-Match'!$C:$C,C172,'Question-Article-Match'!$F:$F,"indirect match")&gt;0,"indirect match","no match"))</f>
        <v>no match</v>
      </c>
      <c r="H172" s="17">
        <f t="shared" si="14"/>
        <v>0</v>
      </c>
      <c r="I172" s="17">
        <f t="shared" si="15"/>
        <v>1</v>
      </c>
      <c r="J172" s="17" t="str">
        <f t="shared" si="16"/>
        <v>FP</v>
      </c>
    </row>
    <row r="173" spans="1:10">
      <c r="A173" s="17" t="s">
        <v>141</v>
      </c>
      <c r="B173" s="17" t="s">
        <v>142</v>
      </c>
      <c r="C173" s="17">
        <v>4</v>
      </c>
      <c r="D173" s="17" t="s">
        <v>64</v>
      </c>
      <c r="E173" s="17" t="s">
        <v>65</v>
      </c>
      <c r="F173" s="18">
        <v>0.18049999999999999</v>
      </c>
      <c r="G173" s="17" t="str">
        <f>IF(COUNTIFS('Question-Article-Match'!$A:$A,A173,'Question-Article-Match'!$C:$C,C173,'Question-Article-Match'!$F:$F,"direct match")&gt;0,"direct match",IF(COUNTIFS('Question-Article-Match'!$A:$A,A173,'Question-Article-Match'!$C:$C,C173,'Question-Article-Match'!$F:$F,"indirect match")&gt;0,"indirect match","no match"))</f>
        <v>no match</v>
      </c>
      <c r="H173" s="17">
        <f t="shared" si="14"/>
        <v>0</v>
      </c>
      <c r="I173" s="17">
        <f t="shared" si="15"/>
        <v>0</v>
      </c>
      <c r="J173" s="17" t="str">
        <f t="shared" si="16"/>
        <v>TN</v>
      </c>
    </row>
    <row r="174" spans="1:10">
      <c r="A174" s="17" t="s">
        <v>141</v>
      </c>
      <c r="B174" s="17" t="s">
        <v>142</v>
      </c>
      <c r="C174" s="17">
        <v>5</v>
      </c>
      <c r="D174" s="17" t="s">
        <v>36</v>
      </c>
      <c r="E174" s="17" t="s">
        <v>37</v>
      </c>
      <c r="F174" s="18">
        <v>0.55410000000000004</v>
      </c>
      <c r="G174" s="17" t="str">
        <f>IF(COUNTIFS('Question-Article-Match'!$A:$A,A174,'Question-Article-Match'!$C:$C,C174,'Question-Article-Match'!$F:$F,"direct match")&gt;0,"direct match",IF(COUNTIFS('Question-Article-Match'!$A:$A,A174,'Question-Article-Match'!$C:$C,C174,'Question-Article-Match'!$F:$F,"indirect match")&gt;0,"indirect match","no match"))</f>
        <v>indirect match</v>
      </c>
      <c r="H174" s="17">
        <f t="shared" si="14"/>
        <v>1</v>
      </c>
      <c r="I174" s="17">
        <f t="shared" si="15"/>
        <v>1</v>
      </c>
      <c r="J174" s="17" t="str">
        <f t="shared" si="16"/>
        <v>TP</v>
      </c>
    </row>
    <row r="175" spans="1:10">
      <c r="A175" s="17" t="s">
        <v>141</v>
      </c>
      <c r="B175" s="17" t="s">
        <v>142</v>
      </c>
      <c r="C175" s="17">
        <v>6</v>
      </c>
      <c r="D175" s="17" t="s">
        <v>28</v>
      </c>
      <c r="E175" s="17" t="s">
        <v>29</v>
      </c>
      <c r="F175" s="18">
        <v>0.54559999999999997</v>
      </c>
      <c r="G175" s="17" t="str">
        <f>IF(COUNTIFS('Question-Article-Match'!$A:$A,A175,'Question-Article-Match'!$C:$C,C175,'Question-Article-Match'!$F:$F,"direct match")&gt;0,"direct match",IF(COUNTIFS('Question-Article-Match'!$A:$A,A175,'Question-Article-Match'!$C:$C,C175,'Question-Article-Match'!$F:$F,"indirect match")&gt;0,"indirect match","no match"))</f>
        <v>indirect match</v>
      </c>
      <c r="H175" s="17">
        <f t="shared" si="14"/>
        <v>1</v>
      </c>
      <c r="I175" s="17">
        <f t="shared" si="15"/>
        <v>1</v>
      </c>
      <c r="J175" s="17" t="str">
        <f t="shared" si="16"/>
        <v>TP</v>
      </c>
    </row>
    <row r="176" spans="1:10">
      <c r="A176" s="17" t="s">
        <v>141</v>
      </c>
      <c r="B176" s="17" t="s">
        <v>142</v>
      </c>
      <c r="C176" s="17">
        <v>7</v>
      </c>
      <c r="D176" s="17" t="s">
        <v>75</v>
      </c>
      <c r="E176" s="17" t="s">
        <v>76</v>
      </c>
      <c r="F176" s="18">
        <v>0.22789999999999999</v>
      </c>
      <c r="G176" s="17" t="str">
        <f>IF(COUNTIFS('Question-Article-Match'!$A:$A,A176,'Question-Article-Match'!$C:$C,C176,'Question-Article-Match'!$F:$F,"direct match")&gt;0,"direct match",IF(COUNTIFS('Question-Article-Match'!$A:$A,A176,'Question-Article-Match'!$C:$C,C176,'Question-Article-Match'!$F:$F,"indirect match")&gt;0,"indirect match","no match"))</f>
        <v>no match</v>
      </c>
      <c r="H176" s="17">
        <f t="shared" si="14"/>
        <v>0</v>
      </c>
      <c r="I176" s="17">
        <f t="shared" si="15"/>
        <v>0</v>
      </c>
      <c r="J176" s="17" t="str">
        <f t="shared" si="16"/>
        <v>TN</v>
      </c>
    </row>
    <row r="177" spans="1:10">
      <c r="A177" s="17" t="s">
        <v>141</v>
      </c>
      <c r="B177" s="17" t="s">
        <v>142</v>
      </c>
      <c r="C177" s="17">
        <v>8</v>
      </c>
      <c r="D177" s="17" t="s">
        <v>40</v>
      </c>
      <c r="E177" s="17" t="s">
        <v>41</v>
      </c>
      <c r="F177" s="18">
        <v>0.52010000000000001</v>
      </c>
      <c r="G177" s="17" t="str">
        <f>IF(COUNTIFS('Question-Article-Match'!$A:$A,A177,'Question-Article-Match'!$C:$C,C177,'Question-Article-Match'!$F:$F,"direct match")&gt;0,"direct match",IF(COUNTIFS('Question-Article-Match'!$A:$A,A177,'Question-Article-Match'!$C:$C,C177,'Question-Article-Match'!$F:$F,"indirect match")&gt;0,"indirect match","no match"))</f>
        <v>indirect match</v>
      </c>
      <c r="H177" s="17">
        <f t="shared" si="14"/>
        <v>1</v>
      </c>
      <c r="I177" s="17">
        <f t="shared" si="15"/>
        <v>1</v>
      </c>
      <c r="J177" s="17" t="str">
        <f t="shared" si="16"/>
        <v>TP</v>
      </c>
    </row>
    <row r="178" spans="1:10">
      <c r="A178" s="17" t="s">
        <v>141</v>
      </c>
      <c r="B178" s="17" t="s">
        <v>142</v>
      </c>
      <c r="C178" s="17">
        <v>9</v>
      </c>
      <c r="D178" s="17" t="s">
        <v>10</v>
      </c>
      <c r="E178" s="17" t="s">
        <v>11</v>
      </c>
      <c r="F178" s="18">
        <v>0.1797</v>
      </c>
      <c r="G178" s="17" t="str">
        <f>IF(COUNTIFS('Question-Article-Match'!$A:$A,A178,'Question-Article-Match'!$C:$C,C178,'Question-Article-Match'!$F:$F,"direct match")&gt;0,"direct match",IF(COUNTIFS('Question-Article-Match'!$A:$A,A178,'Question-Article-Match'!$C:$C,C178,'Question-Article-Match'!$F:$F,"indirect match")&gt;0,"indirect match","no match"))</f>
        <v>no match</v>
      </c>
      <c r="H178" s="17">
        <f t="shared" si="14"/>
        <v>0</v>
      </c>
      <c r="I178" s="17">
        <f t="shared" si="15"/>
        <v>0</v>
      </c>
      <c r="J178" s="17" t="str">
        <f t="shared" si="16"/>
        <v>TN</v>
      </c>
    </row>
    <row r="179" spans="1:10">
      <c r="A179" s="17" t="s">
        <v>141</v>
      </c>
      <c r="B179" s="17" t="s">
        <v>142</v>
      </c>
      <c r="C179" s="17">
        <v>10</v>
      </c>
      <c r="D179" s="17" t="s">
        <v>32</v>
      </c>
      <c r="E179" s="17" t="s">
        <v>33</v>
      </c>
      <c r="F179" s="18">
        <v>0.1691</v>
      </c>
      <c r="G179" s="17" t="str">
        <f>IF(COUNTIFS('Question-Article-Match'!$A:$A,A179,'Question-Article-Match'!$C:$C,C179,'Question-Article-Match'!$F:$F,"direct match")&gt;0,"direct match",IF(COUNTIFS('Question-Article-Match'!$A:$A,A179,'Question-Article-Match'!$C:$C,C179,'Question-Article-Match'!$F:$F,"indirect match")&gt;0,"indirect match","no match"))</f>
        <v>no match</v>
      </c>
      <c r="H179" s="17">
        <f t="shared" si="14"/>
        <v>0</v>
      </c>
      <c r="I179" s="17">
        <f t="shared" si="15"/>
        <v>0</v>
      </c>
      <c r="J179" s="17" t="str">
        <f t="shared" si="16"/>
        <v>TN</v>
      </c>
    </row>
    <row r="180" spans="1:10">
      <c r="A180" s="17" t="s">
        <v>141</v>
      </c>
      <c r="B180" s="17" t="s">
        <v>142</v>
      </c>
      <c r="C180" s="17">
        <v>11</v>
      </c>
      <c r="D180" s="17" t="s">
        <v>89</v>
      </c>
      <c r="E180" s="17" t="s">
        <v>90</v>
      </c>
      <c r="F180" s="18">
        <v>0.30330000000000001</v>
      </c>
      <c r="G180" s="17" t="str">
        <f>IF(COUNTIFS('Question-Article-Match'!$A:$A,A180,'Question-Article-Match'!$C:$C,C180,'Question-Article-Match'!$F:$F,"direct match")&gt;0,"direct match",IF(COUNTIFS('Question-Article-Match'!$A:$A,A180,'Question-Article-Match'!$C:$C,C180,'Question-Article-Match'!$F:$F,"indirect match")&gt;0,"indirect match","no match"))</f>
        <v>no match</v>
      </c>
      <c r="H180" s="17">
        <f t="shared" si="14"/>
        <v>0</v>
      </c>
      <c r="I180" s="17">
        <f t="shared" si="15"/>
        <v>0</v>
      </c>
      <c r="J180" s="17" t="str">
        <f t="shared" si="16"/>
        <v>TN</v>
      </c>
    </row>
    <row r="181" spans="1:10">
      <c r="A181" s="17" t="s">
        <v>141</v>
      </c>
      <c r="B181" s="17" t="s">
        <v>142</v>
      </c>
      <c r="C181" s="17">
        <v>12</v>
      </c>
      <c r="D181" s="17" t="s">
        <v>20</v>
      </c>
      <c r="E181" s="17" t="s">
        <v>21</v>
      </c>
      <c r="F181" s="18">
        <v>0.33779999999999999</v>
      </c>
      <c r="G181" s="17" t="str">
        <f>IF(COUNTIFS('Question-Article-Match'!$A:$A,A181,'Question-Article-Match'!$C:$C,C181,'Question-Article-Match'!$F:$F,"direct match")&gt;0,"direct match",IF(COUNTIFS('Question-Article-Match'!$A:$A,A181,'Question-Article-Match'!$C:$C,C181,'Question-Article-Match'!$F:$F,"indirect match")&gt;0,"indirect match","no match"))</f>
        <v>no match</v>
      </c>
      <c r="H181" s="17">
        <f t="shared" si="14"/>
        <v>0</v>
      </c>
      <c r="I181" s="17">
        <f t="shared" si="15"/>
        <v>0</v>
      </c>
      <c r="J181" s="17" t="str">
        <f t="shared" si="16"/>
        <v>TN</v>
      </c>
    </row>
    <row r="182" spans="1:10">
      <c r="A182" s="17" t="s">
        <v>141</v>
      </c>
      <c r="B182" s="17" t="s">
        <v>142</v>
      </c>
      <c r="C182" s="17">
        <v>13</v>
      </c>
      <c r="D182" s="17" t="s">
        <v>34</v>
      </c>
      <c r="E182" s="17" t="s">
        <v>35</v>
      </c>
      <c r="F182" s="18">
        <v>0.2104</v>
      </c>
      <c r="G182" s="17" t="str">
        <f>IF(COUNTIFS('Question-Article-Match'!$A:$A,A182,'Question-Article-Match'!$C:$C,C182,'Question-Article-Match'!$F:$F,"direct match")&gt;0,"direct match",IF(COUNTIFS('Question-Article-Match'!$A:$A,A182,'Question-Article-Match'!$C:$C,C182,'Question-Article-Match'!$F:$F,"indirect match")&gt;0,"indirect match","no match"))</f>
        <v>no match</v>
      </c>
      <c r="H182" s="17">
        <f t="shared" si="14"/>
        <v>0</v>
      </c>
      <c r="I182" s="17">
        <f t="shared" si="15"/>
        <v>0</v>
      </c>
      <c r="J182" s="17" t="str">
        <f t="shared" si="16"/>
        <v>TN</v>
      </c>
    </row>
    <row r="183" spans="1:10">
      <c r="A183" s="17" t="s">
        <v>141</v>
      </c>
      <c r="B183" s="17" t="s">
        <v>142</v>
      </c>
      <c r="C183" s="17">
        <v>14</v>
      </c>
      <c r="D183" s="17" t="s">
        <v>16</v>
      </c>
      <c r="E183" s="17" t="s">
        <v>17</v>
      </c>
      <c r="F183" s="18">
        <v>0.2626</v>
      </c>
      <c r="G183" s="17" t="str">
        <f>IF(COUNTIFS('Question-Article-Match'!$A:$A,A183,'Question-Article-Match'!$C:$C,C183,'Question-Article-Match'!$F:$F,"direct match")&gt;0,"direct match",IF(COUNTIFS('Question-Article-Match'!$A:$A,A183,'Question-Article-Match'!$C:$C,C183,'Question-Article-Match'!$F:$F,"indirect match")&gt;0,"indirect match","no match"))</f>
        <v>no match</v>
      </c>
      <c r="H183" s="17">
        <f t="shared" si="14"/>
        <v>0</v>
      </c>
      <c r="I183" s="17">
        <f t="shared" si="15"/>
        <v>0</v>
      </c>
      <c r="J183" s="17" t="str">
        <f t="shared" si="16"/>
        <v>TN</v>
      </c>
    </row>
    <row r="184" spans="1:10">
      <c r="A184" s="17" t="s">
        <v>141</v>
      </c>
      <c r="B184" s="17" t="s">
        <v>142</v>
      </c>
      <c r="C184" s="17">
        <v>15</v>
      </c>
      <c r="D184" s="17" t="s">
        <v>42</v>
      </c>
      <c r="E184" s="17" t="s">
        <v>43</v>
      </c>
      <c r="F184" s="18">
        <v>0.2382</v>
      </c>
      <c r="G184" s="17" t="str">
        <f>IF(COUNTIFS('Question-Article-Match'!$A:$A,A184,'Question-Article-Match'!$C:$C,C184,'Question-Article-Match'!$F:$F,"direct match")&gt;0,"direct match",IF(COUNTIFS('Question-Article-Match'!$A:$A,A184,'Question-Article-Match'!$C:$C,C184,'Question-Article-Match'!$F:$F,"indirect match")&gt;0,"indirect match","no match"))</f>
        <v>no match</v>
      </c>
      <c r="H184" s="17">
        <f t="shared" si="14"/>
        <v>0</v>
      </c>
      <c r="I184" s="17">
        <f t="shared" si="15"/>
        <v>0</v>
      </c>
      <c r="J184" s="17" t="str">
        <f t="shared" si="16"/>
        <v>TN</v>
      </c>
    </row>
    <row r="185" spans="1:10">
      <c r="A185" s="17" t="s">
        <v>141</v>
      </c>
      <c r="B185" s="17" t="s">
        <v>142</v>
      </c>
      <c r="C185" s="17">
        <v>16</v>
      </c>
      <c r="D185" s="17" t="s">
        <v>12</v>
      </c>
      <c r="E185" s="17" t="s">
        <v>13</v>
      </c>
      <c r="F185" s="18">
        <v>0.37859999999999999</v>
      </c>
      <c r="G185" s="17" t="str">
        <f>IF(COUNTIFS('Question-Article-Match'!$A:$A,A185,'Question-Article-Match'!$C:$C,C185,'Question-Article-Match'!$F:$F,"direct match")&gt;0,"direct match",IF(COUNTIFS('Question-Article-Match'!$A:$A,A185,'Question-Article-Match'!$C:$C,C185,'Question-Article-Match'!$F:$F,"indirect match")&gt;0,"indirect match","no match"))</f>
        <v>no match</v>
      </c>
      <c r="H185" s="17">
        <f t="shared" si="14"/>
        <v>0</v>
      </c>
      <c r="I185" s="17">
        <f t="shared" si="15"/>
        <v>1</v>
      </c>
      <c r="J185" s="17" t="str">
        <f t="shared" si="16"/>
        <v>FP</v>
      </c>
    </row>
    <row r="186" spans="1:10">
      <c r="A186" s="17" t="s">
        <v>141</v>
      </c>
      <c r="B186" s="17" t="s">
        <v>142</v>
      </c>
      <c r="C186" s="17">
        <v>17</v>
      </c>
      <c r="D186" s="17" t="s">
        <v>108</v>
      </c>
      <c r="E186" s="17" t="s">
        <v>109</v>
      </c>
      <c r="F186" s="18">
        <v>8.6900000000000005E-2</v>
      </c>
      <c r="G186" s="17" t="str">
        <f>IF(COUNTIFS('Question-Article-Match'!$A:$A,A186,'Question-Article-Match'!$C:$C,C186,'Question-Article-Match'!$F:$F,"direct match")&gt;0,"direct match",IF(COUNTIFS('Question-Article-Match'!$A:$A,A186,'Question-Article-Match'!$C:$C,C186,'Question-Article-Match'!$F:$F,"indirect match")&gt;0,"indirect match","no match"))</f>
        <v>no match</v>
      </c>
      <c r="H186" s="17">
        <f t="shared" si="14"/>
        <v>0</v>
      </c>
      <c r="I186" s="17">
        <f t="shared" si="15"/>
        <v>0</v>
      </c>
      <c r="J186" s="17" t="str">
        <f t="shared" si="16"/>
        <v>TN</v>
      </c>
    </row>
    <row r="187" spans="1:10">
      <c r="A187" s="17" t="s">
        <v>141</v>
      </c>
      <c r="B187" s="17" t="s">
        <v>142</v>
      </c>
      <c r="C187" s="17">
        <v>18</v>
      </c>
      <c r="D187" s="17" t="s">
        <v>24</v>
      </c>
      <c r="E187" s="17" t="s">
        <v>25</v>
      </c>
      <c r="F187" s="18">
        <v>0.2172</v>
      </c>
      <c r="G187" s="17" t="str">
        <f>IF(COUNTIFS('Question-Article-Match'!$A:$A,A187,'Question-Article-Match'!$C:$C,C187,'Question-Article-Match'!$F:$F,"direct match")&gt;0,"direct match",IF(COUNTIFS('Question-Article-Match'!$A:$A,A187,'Question-Article-Match'!$C:$C,C187,'Question-Article-Match'!$F:$F,"indirect match")&gt;0,"indirect match","no match"))</f>
        <v>no match</v>
      </c>
      <c r="H187" s="17">
        <f t="shared" si="14"/>
        <v>0</v>
      </c>
      <c r="I187" s="17">
        <f t="shared" si="15"/>
        <v>0</v>
      </c>
      <c r="J187" s="17" t="str">
        <f t="shared" si="16"/>
        <v>TN</v>
      </c>
    </row>
    <row r="188" spans="1:10">
      <c r="A188" s="17" t="s">
        <v>141</v>
      </c>
      <c r="B188" s="17" t="s">
        <v>142</v>
      </c>
      <c r="C188" s="17">
        <v>19</v>
      </c>
      <c r="D188" s="17" t="s">
        <v>14</v>
      </c>
      <c r="E188" s="17" t="s">
        <v>15</v>
      </c>
      <c r="F188" s="18">
        <v>0.43419999999999997</v>
      </c>
      <c r="G188" s="17" t="str">
        <f>IF(COUNTIFS('Question-Article-Match'!$A:$A,A188,'Question-Article-Match'!$C:$C,C188,'Question-Article-Match'!$F:$F,"direct match")&gt;0,"direct match",IF(COUNTIFS('Question-Article-Match'!$A:$A,A188,'Question-Article-Match'!$C:$C,C188,'Question-Article-Match'!$F:$F,"indirect match")&gt;0,"indirect match","no match"))</f>
        <v>indirect match</v>
      </c>
      <c r="H188" s="17">
        <f t="shared" si="14"/>
        <v>1</v>
      </c>
      <c r="I188" s="17">
        <f t="shared" si="15"/>
        <v>1</v>
      </c>
      <c r="J188" s="17" t="str">
        <f t="shared" si="16"/>
        <v>TP</v>
      </c>
    </row>
    <row r="189" spans="1:10">
      <c r="A189" s="17" t="s">
        <v>141</v>
      </c>
      <c r="B189" s="17" t="s">
        <v>142</v>
      </c>
      <c r="C189" s="17">
        <v>20</v>
      </c>
      <c r="D189" s="17" t="s">
        <v>113</v>
      </c>
      <c r="E189" s="17" t="s">
        <v>114</v>
      </c>
      <c r="F189" s="18">
        <v>0.19639999999999999</v>
      </c>
      <c r="G189" s="17" t="str">
        <f>IF(COUNTIFS('Question-Article-Match'!$A:$A,A189,'Question-Article-Match'!$C:$C,C189,'Question-Article-Match'!$F:$F,"direct match")&gt;0,"direct match",IF(COUNTIFS('Question-Article-Match'!$A:$A,A189,'Question-Article-Match'!$C:$C,C189,'Question-Article-Match'!$F:$F,"indirect match")&gt;0,"indirect match","no match"))</f>
        <v>no match</v>
      </c>
      <c r="H189" s="17">
        <f t="shared" si="14"/>
        <v>0</v>
      </c>
      <c r="I189" s="17">
        <f t="shared" si="15"/>
        <v>0</v>
      </c>
      <c r="J189" s="17" t="str">
        <f t="shared" si="16"/>
        <v>TN</v>
      </c>
    </row>
    <row r="190" spans="1:10">
      <c r="A190" s="17" t="s">
        <v>141</v>
      </c>
      <c r="B190" s="17" t="s">
        <v>142</v>
      </c>
      <c r="C190" s="17">
        <v>21</v>
      </c>
      <c r="D190" s="17" t="s">
        <v>46</v>
      </c>
      <c r="E190" s="17" t="s">
        <v>47</v>
      </c>
      <c r="F190" s="18">
        <v>0.15590000000000001</v>
      </c>
      <c r="G190" s="17" t="str">
        <f>IF(COUNTIFS('Question-Article-Match'!$A:$A,A190,'Question-Article-Match'!$C:$C,C190,'Question-Article-Match'!$F:$F,"direct match")&gt;0,"direct match",IF(COUNTIFS('Question-Article-Match'!$A:$A,A190,'Question-Article-Match'!$C:$C,C190,'Question-Article-Match'!$F:$F,"indirect match")&gt;0,"indirect match","no match"))</f>
        <v>no match</v>
      </c>
      <c r="H190" s="17">
        <f t="shared" si="14"/>
        <v>0</v>
      </c>
      <c r="I190" s="17">
        <f t="shared" si="15"/>
        <v>0</v>
      </c>
      <c r="J190" s="17" t="str">
        <f t="shared" si="16"/>
        <v>TN</v>
      </c>
    </row>
    <row r="191" spans="1:10">
      <c r="A191" s="17" t="s">
        <v>144</v>
      </c>
      <c r="B191" s="17" t="s">
        <v>145</v>
      </c>
      <c r="C191" s="17">
        <v>1</v>
      </c>
      <c r="D191" s="17" t="s">
        <v>22</v>
      </c>
      <c r="E191" s="17" t="s">
        <v>23</v>
      </c>
      <c r="F191" s="18">
        <v>0.1196</v>
      </c>
      <c r="G191" s="17" t="str">
        <f>IF(COUNTIFS('Question-Article-Match'!$A:$A,A191,'Question-Article-Match'!$C:$C,C191,'Question-Article-Match'!$F:$F,"direct match")&gt;0,"direct match",IF(COUNTIFS('Question-Article-Match'!$A:$A,A191,'Question-Article-Match'!$C:$C,C191,'Question-Article-Match'!$F:$F,"indirect match")&gt;0,"indirect match","no match"))</f>
        <v>no match</v>
      </c>
      <c r="H191" s="17">
        <f t="shared" si="14"/>
        <v>0</v>
      </c>
      <c r="I191" s="17">
        <f t="shared" si="15"/>
        <v>0</v>
      </c>
      <c r="J191" s="17" t="str">
        <f t="shared" si="16"/>
        <v>TN</v>
      </c>
    </row>
    <row r="192" spans="1:10">
      <c r="A192" s="17" t="s">
        <v>144</v>
      </c>
      <c r="B192" s="17" t="s">
        <v>145</v>
      </c>
      <c r="C192" s="17">
        <v>2</v>
      </c>
      <c r="D192" s="17" t="s">
        <v>18</v>
      </c>
      <c r="E192" s="17" t="s">
        <v>19</v>
      </c>
      <c r="F192" s="18">
        <v>0.1633</v>
      </c>
      <c r="G192" s="17" t="str">
        <f>IF(COUNTIFS('Question-Article-Match'!$A:$A,A192,'Question-Article-Match'!$C:$C,C192,'Question-Article-Match'!$F:$F,"direct match")&gt;0,"direct match",IF(COUNTIFS('Question-Article-Match'!$A:$A,A192,'Question-Article-Match'!$C:$C,C192,'Question-Article-Match'!$F:$F,"indirect match")&gt;0,"indirect match","no match"))</f>
        <v>no match</v>
      </c>
      <c r="H192" s="17">
        <f t="shared" si="14"/>
        <v>0</v>
      </c>
      <c r="I192" s="17">
        <f t="shared" si="15"/>
        <v>0</v>
      </c>
      <c r="J192" s="17" t="str">
        <f t="shared" si="16"/>
        <v>TN</v>
      </c>
    </row>
    <row r="193" spans="1:10">
      <c r="A193" s="17" t="s">
        <v>144</v>
      </c>
      <c r="B193" s="17" t="s">
        <v>145</v>
      </c>
      <c r="C193" s="17">
        <v>3</v>
      </c>
      <c r="D193" s="17" t="s">
        <v>26</v>
      </c>
      <c r="E193" s="17" t="s">
        <v>27</v>
      </c>
      <c r="F193" s="18">
        <v>0.38129999999999997</v>
      </c>
      <c r="G193" s="17" t="str">
        <f>IF(COUNTIFS('Question-Article-Match'!$A:$A,A193,'Question-Article-Match'!$C:$C,C193,'Question-Article-Match'!$F:$F,"direct match")&gt;0,"direct match",IF(COUNTIFS('Question-Article-Match'!$A:$A,A193,'Question-Article-Match'!$C:$C,C193,'Question-Article-Match'!$F:$F,"indirect match")&gt;0,"indirect match","no match"))</f>
        <v>no match</v>
      </c>
      <c r="H193" s="17">
        <f t="shared" si="14"/>
        <v>0</v>
      </c>
      <c r="I193" s="17">
        <f t="shared" si="15"/>
        <v>1</v>
      </c>
      <c r="J193" s="17" t="str">
        <f t="shared" si="16"/>
        <v>FP</v>
      </c>
    </row>
    <row r="194" spans="1:10">
      <c r="A194" s="17" t="s">
        <v>144</v>
      </c>
      <c r="B194" s="17" t="s">
        <v>145</v>
      </c>
      <c r="C194" s="17">
        <v>4</v>
      </c>
      <c r="D194" s="17" t="s">
        <v>64</v>
      </c>
      <c r="E194" s="17" t="s">
        <v>65</v>
      </c>
      <c r="F194" s="18">
        <v>9.6199999999999994E-2</v>
      </c>
      <c r="G194" s="17" t="str">
        <f>IF(COUNTIFS('Question-Article-Match'!$A:$A,A194,'Question-Article-Match'!$C:$C,C194,'Question-Article-Match'!$F:$F,"direct match")&gt;0,"direct match",IF(COUNTIFS('Question-Article-Match'!$A:$A,A194,'Question-Article-Match'!$C:$C,C194,'Question-Article-Match'!$F:$F,"indirect match")&gt;0,"indirect match","no match"))</f>
        <v>no match</v>
      </c>
      <c r="H194" s="17">
        <f t="shared" ref="H194:H257" si="17">IF(G194="no match",0,1)</f>
        <v>0</v>
      </c>
      <c r="I194" s="17">
        <f t="shared" ref="I194:I257" si="18">IF(F194&gt;=$N$2,1,0)</f>
        <v>0</v>
      </c>
      <c r="J194" s="17" t="str">
        <f t="shared" ref="J194:J257" si="19">IF(AND(H194=1,I194=1),"TP",IF(AND(H194=0,I194=1),"FP",IF(H194=1,"FN","TN")))</f>
        <v>TN</v>
      </c>
    </row>
    <row r="195" spans="1:10">
      <c r="A195" s="17" t="s">
        <v>144</v>
      </c>
      <c r="B195" s="17" t="s">
        <v>145</v>
      </c>
      <c r="C195" s="17">
        <v>5</v>
      </c>
      <c r="D195" s="17" t="s">
        <v>36</v>
      </c>
      <c r="E195" s="17" t="s">
        <v>37</v>
      </c>
      <c r="F195" s="18">
        <v>0.251</v>
      </c>
      <c r="G195" s="17" t="str">
        <f>IF(COUNTIFS('Question-Article-Match'!$A:$A,A195,'Question-Article-Match'!$C:$C,C195,'Question-Article-Match'!$F:$F,"direct match")&gt;0,"direct match",IF(COUNTIFS('Question-Article-Match'!$A:$A,A195,'Question-Article-Match'!$C:$C,C195,'Question-Article-Match'!$F:$F,"indirect match")&gt;0,"indirect match","no match"))</f>
        <v>no match</v>
      </c>
      <c r="H195" s="17">
        <f t="shared" si="17"/>
        <v>0</v>
      </c>
      <c r="I195" s="17">
        <f t="shared" si="18"/>
        <v>0</v>
      </c>
      <c r="J195" s="17" t="str">
        <f t="shared" si="19"/>
        <v>TN</v>
      </c>
    </row>
    <row r="196" spans="1:10">
      <c r="A196" s="17" t="s">
        <v>144</v>
      </c>
      <c r="B196" s="17" t="s">
        <v>145</v>
      </c>
      <c r="C196" s="17">
        <v>6</v>
      </c>
      <c r="D196" s="17" t="s">
        <v>28</v>
      </c>
      <c r="E196" s="17" t="s">
        <v>29</v>
      </c>
      <c r="F196" s="18">
        <v>0.2407</v>
      </c>
      <c r="G196" s="17" t="str">
        <f>IF(COUNTIFS('Question-Article-Match'!$A:$A,A196,'Question-Article-Match'!$C:$C,C196,'Question-Article-Match'!$F:$F,"direct match")&gt;0,"direct match",IF(COUNTIFS('Question-Article-Match'!$A:$A,A196,'Question-Article-Match'!$C:$C,C196,'Question-Article-Match'!$F:$F,"indirect match")&gt;0,"indirect match","no match"))</f>
        <v>no match</v>
      </c>
      <c r="H196" s="17">
        <f t="shared" si="17"/>
        <v>0</v>
      </c>
      <c r="I196" s="17">
        <f t="shared" si="18"/>
        <v>0</v>
      </c>
      <c r="J196" s="17" t="str">
        <f t="shared" si="19"/>
        <v>TN</v>
      </c>
    </row>
    <row r="197" spans="1:10">
      <c r="A197" s="17" t="s">
        <v>144</v>
      </c>
      <c r="B197" s="17" t="s">
        <v>145</v>
      </c>
      <c r="C197" s="17">
        <v>7</v>
      </c>
      <c r="D197" s="17" t="s">
        <v>75</v>
      </c>
      <c r="E197" s="17" t="s">
        <v>76</v>
      </c>
      <c r="F197" s="18">
        <v>0.1406</v>
      </c>
      <c r="G197" s="17" t="str">
        <f>IF(COUNTIFS('Question-Article-Match'!$A:$A,A197,'Question-Article-Match'!$C:$C,C197,'Question-Article-Match'!$F:$F,"direct match")&gt;0,"direct match",IF(COUNTIFS('Question-Article-Match'!$A:$A,A197,'Question-Article-Match'!$C:$C,C197,'Question-Article-Match'!$F:$F,"indirect match")&gt;0,"indirect match","no match"))</f>
        <v>no match</v>
      </c>
      <c r="H197" s="17">
        <f t="shared" si="17"/>
        <v>0</v>
      </c>
      <c r="I197" s="17">
        <f t="shared" si="18"/>
        <v>0</v>
      </c>
      <c r="J197" s="17" t="str">
        <f t="shared" si="19"/>
        <v>TN</v>
      </c>
    </row>
    <row r="198" spans="1:10">
      <c r="A198" s="17" t="s">
        <v>144</v>
      </c>
      <c r="B198" s="17" t="s">
        <v>145</v>
      </c>
      <c r="C198" s="17">
        <v>8</v>
      </c>
      <c r="D198" s="17" t="s">
        <v>40</v>
      </c>
      <c r="E198" s="17" t="s">
        <v>41</v>
      </c>
      <c r="F198" s="18">
        <v>0.24540000000000001</v>
      </c>
      <c r="G198" s="17" t="str">
        <f>IF(COUNTIFS('Question-Article-Match'!$A:$A,A198,'Question-Article-Match'!$C:$C,C198,'Question-Article-Match'!$F:$F,"direct match")&gt;0,"direct match",IF(COUNTIFS('Question-Article-Match'!$A:$A,A198,'Question-Article-Match'!$C:$C,C198,'Question-Article-Match'!$F:$F,"indirect match")&gt;0,"indirect match","no match"))</f>
        <v>no match</v>
      </c>
      <c r="H198" s="17">
        <f t="shared" si="17"/>
        <v>0</v>
      </c>
      <c r="I198" s="17">
        <f t="shared" si="18"/>
        <v>0</v>
      </c>
      <c r="J198" s="17" t="str">
        <f t="shared" si="19"/>
        <v>TN</v>
      </c>
    </row>
    <row r="199" spans="1:10">
      <c r="A199" s="17" t="s">
        <v>144</v>
      </c>
      <c r="B199" s="17" t="s">
        <v>145</v>
      </c>
      <c r="C199" s="17">
        <v>9</v>
      </c>
      <c r="D199" s="17" t="s">
        <v>10</v>
      </c>
      <c r="E199" s="17" t="s">
        <v>11</v>
      </c>
      <c r="F199" s="18">
        <v>0.1245</v>
      </c>
      <c r="G199" s="17" t="str">
        <f>IF(COUNTIFS('Question-Article-Match'!$A:$A,A199,'Question-Article-Match'!$C:$C,C199,'Question-Article-Match'!$F:$F,"direct match")&gt;0,"direct match",IF(COUNTIFS('Question-Article-Match'!$A:$A,A199,'Question-Article-Match'!$C:$C,C199,'Question-Article-Match'!$F:$F,"indirect match")&gt;0,"indirect match","no match"))</f>
        <v>no match</v>
      </c>
      <c r="H199" s="17">
        <f t="shared" si="17"/>
        <v>0</v>
      </c>
      <c r="I199" s="17">
        <f t="shared" si="18"/>
        <v>0</v>
      </c>
      <c r="J199" s="17" t="str">
        <f t="shared" si="19"/>
        <v>TN</v>
      </c>
    </row>
    <row r="200" spans="1:10">
      <c r="A200" s="17" t="s">
        <v>144</v>
      </c>
      <c r="B200" s="17" t="s">
        <v>145</v>
      </c>
      <c r="C200" s="17">
        <v>10</v>
      </c>
      <c r="D200" s="17" t="s">
        <v>32</v>
      </c>
      <c r="E200" s="17" t="s">
        <v>33</v>
      </c>
      <c r="F200" s="18">
        <v>0.1497</v>
      </c>
      <c r="G200" s="17" t="str">
        <f>IF(COUNTIFS('Question-Article-Match'!$A:$A,A200,'Question-Article-Match'!$C:$C,C200,'Question-Article-Match'!$F:$F,"direct match")&gt;0,"direct match",IF(COUNTIFS('Question-Article-Match'!$A:$A,A200,'Question-Article-Match'!$C:$C,C200,'Question-Article-Match'!$F:$F,"indirect match")&gt;0,"indirect match","no match"))</f>
        <v>no match</v>
      </c>
      <c r="H200" s="17">
        <f t="shared" si="17"/>
        <v>0</v>
      </c>
      <c r="I200" s="17">
        <f t="shared" si="18"/>
        <v>0</v>
      </c>
      <c r="J200" s="17" t="str">
        <f t="shared" si="19"/>
        <v>TN</v>
      </c>
    </row>
    <row r="201" spans="1:10">
      <c r="A201" s="17" t="s">
        <v>144</v>
      </c>
      <c r="B201" s="17" t="s">
        <v>145</v>
      </c>
      <c r="C201" s="17">
        <v>11</v>
      </c>
      <c r="D201" s="17" t="s">
        <v>89</v>
      </c>
      <c r="E201" s="17" t="s">
        <v>90</v>
      </c>
      <c r="F201" s="18">
        <v>0.40239999999999998</v>
      </c>
      <c r="G201" s="17" t="str">
        <f>IF(COUNTIFS('Question-Article-Match'!$A:$A,A201,'Question-Article-Match'!$C:$C,C201,'Question-Article-Match'!$F:$F,"direct match")&gt;0,"direct match",IF(COUNTIFS('Question-Article-Match'!$A:$A,A201,'Question-Article-Match'!$C:$C,C201,'Question-Article-Match'!$F:$F,"indirect match")&gt;0,"indirect match","no match"))</f>
        <v>no match</v>
      </c>
      <c r="H201" s="17">
        <f t="shared" si="17"/>
        <v>0</v>
      </c>
      <c r="I201" s="17">
        <f t="shared" si="18"/>
        <v>1</v>
      </c>
      <c r="J201" s="17" t="str">
        <f t="shared" si="19"/>
        <v>FP</v>
      </c>
    </row>
    <row r="202" spans="1:10">
      <c r="A202" s="17" t="s">
        <v>144</v>
      </c>
      <c r="B202" s="17" t="s">
        <v>145</v>
      </c>
      <c r="C202" s="17">
        <v>12</v>
      </c>
      <c r="D202" s="17" t="s">
        <v>20</v>
      </c>
      <c r="E202" s="17" t="s">
        <v>21</v>
      </c>
      <c r="F202" s="18">
        <v>0.19550000000000001</v>
      </c>
      <c r="G202" s="17" t="str">
        <f>IF(COUNTIFS('Question-Article-Match'!$A:$A,A202,'Question-Article-Match'!$C:$C,C202,'Question-Article-Match'!$F:$F,"direct match")&gt;0,"direct match",IF(COUNTIFS('Question-Article-Match'!$A:$A,A202,'Question-Article-Match'!$C:$C,C202,'Question-Article-Match'!$F:$F,"indirect match")&gt;0,"indirect match","no match"))</f>
        <v>no match</v>
      </c>
      <c r="H202" s="17">
        <f t="shared" si="17"/>
        <v>0</v>
      </c>
      <c r="I202" s="17">
        <f t="shared" si="18"/>
        <v>0</v>
      </c>
      <c r="J202" s="17" t="str">
        <f t="shared" si="19"/>
        <v>TN</v>
      </c>
    </row>
    <row r="203" spans="1:10">
      <c r="A203" s="17" t="s">
        <v>144</v>
      </c>
      <c r="B203" s="17" t="s">
        <v>145</v>
      </c>
      <c r="C203" s="17">
        <v>13</v>
      </c>
      <c r="D203" s="17" t="s">
        <v>34</v>
      </c>
      <c r="E203" s="17" t="s">
        <v>35</v>
      </c>
      <c r="F203" s="18">
        <v>0.27150000000000002</v>
      </c>
      <c r="G203" s="17" t="str">
        <f>IF(COUNTIFS('Question-Article-Match'!$A:$A,A203,'Question-Article-Match'!$C:$C,C203,'Question-Article-Match'!$F:$F,"direct match")&gt;0,"direct match",IF(COUNTIFS('Question-Article-Match'!$A:$A,A203,'Question-Article-Match'!$C:$C,C203,'Question-Article-Match'!$F:$F,"indirect match")&gt;0,"indirect match","no match"))</f>
        <v>no match</v>
      </c>
      <c r="H203" s="17">
        <f t="shared" si="17"/>
        <v>0</v>
      </c>
      <c r="I203" s="17">
        <f t="shared" si="18"/>
        <v>0</v>
      </c>
      <c r="J203" s="17" t="str">
        <f t="shared" si="19"/>
        <v>TN</v>
      </c>
    </row>
    <row r="204" spans="1:10">
      <c r="A204" s="17" t="s">
        <v>144</v>
      </c>
      <c r="B204" s="17" t="s">
        <v>145</v>
      </c>
      <c r="C204" s="17">
        <v>14</v>
      </c>
      <c r="D204" s="17" t="s">
        <v>16</v>
      </c>
      <c r="E204" s="17" t="s">
        <v>17</v>
      </c>
      <c r="F204" s="18">
        <v>0.2268</v>
      </c>
      <c r="G204" s="17" t="str">
        <f>IF(COUNTIFS('Question-Article-Match'!$A:$A,A204,'Question-Article-Match'!$C:$C,C204,'Question-Article-Match'!$F:$F,"direct match")&gt;0,"direct match",IF(COUNTIFS('Question-Article-Match'!$A:$A,A204,'Question-Article-Match'!$C:$C,C204,'Question-Article-Match'!$F:$F,"indirect match")&gt;0,"indirect match","no match"))</f>
        <v>no match</v>
      </c>
      <c r="H204" s="17">
        <f t="shared" si="17"/>
        <v>0</v>
      </c>
      <c r="I204" s="17">
        <f t="shared" si="18"/>
        <v>0</v>
      </c>
      <c r="J204" s="17" t="str">
        <f t="shared" si="19"/>
        <v>TN</v>
      </c>
    </row>
    <row r="205" spans="1:10">
      <c r="A205" s="17" t="s">
        <v>144</v>
      </c>
      <c r="B205" s="17" t="s">
        <v>145</v>
      </c>
      <c r="C205" s="17">
        <v>15</v>
      </c>
      <c r="D205" s="17" t="s">
        <v>42</v>
      </c>
      <c r="E205" s="17" t="s">
        <v>43</v>
      </c>
      <c r="F205" s="18">
        <v>0.20150000000000001</v>
      </c>
      <c r="G205" s="17" t="str">
        <f>IF(COUNTIFS('Question-Article-Match'!$A:$A,A205,'Question-Article-Match'!$C:$C,C205,'Question-Article-Match'!$F:$F,"direct match")&gt;0,"direct match",IF(COUNTIFS('Question-Article-Match'!$A:$A,A205,'Question-Article-Match'!$C:$C,C205,'Question-Article-Match'!$F:$F,"indirect match")&gt;0,"indirect match","no match"))</f>
        <v>no match</v>
      </c>
      <c r="H205" s="17">
        <f t="shared" si="17"/>
        <v>0</v>
      </c>
      <c r="I205" s="17">
        <f t="shared" si="18"/>
        <v>0</v>
      </c>
      <c r="J205" s="17" t="str">
        <f t="shared" si="19"/>
        <v>TN</v>
      </c>
    </row>
    <row r="206" spans="1:10">
      <c r="A206" s="17" t="s">
        <v>144</v>
      </c>
      <c r="B206" s="17" t="s">
        <v>145</v>
      </c>
      <c r="C206" s="17">
        <v>16</v>
      </c>
      <c r="D206" s="17" t="s">
        <v>12</v>
      </c>
      <c r="E206" s="17" t="s">
        <v>13</v>
      </c>
      <c r="F206" s="18">
        <v>0.35170000000000001</v>
      </c>
      <c r="G206" s="17" t="str">
        <f>IF(COUNTIFS('Question-Article-Match'!$A:$A,A206,'Question-Article-Match'!$C:$C,C206,'Question-Article-Match'!$F:$F,"direct match")&gt;0,"direct match",IF(COUNTIFS('Question-Article-Match'!$A:$A,A206,'Question-Article-Match'!$C:$C,C206,'Question-Article-Match'!$F:$F,"indirect match")&gt;0,"indirect match","no match"))</f>
        <v>no match</v>
      </c>
      <c r="H206" s="17">
        <f t="shared" si="17"/>
        <v>0</v>
      </c>
      <c r="I206" s="17">
        <f t="shared" si="18"/>
        <v>1</v>
      </c>
      <c r="J206" s="17" t="str">
        <f t="shared" si="19"/>
        <v>FP</v>
      </c>
    </row>
    <row r="207" spans="1:10">
      <c r="A207" s="17" t="s">
        <v>144</v>
      </c>
      <c r="B207" s="17" t="s">
        <v>145</v>
      </c>
      <c r="C207" s="17">
        <v>17</v>
      </c>
      <c r="D207" s="17" t="s">
        <v>108</v>
      </c>
      <c r="E207" s="17" t="s">
        <v>109</v>
      </c>
      <c r="F207" s="18">
        <v>7.7299999999999994E-2</v>
      </c>
      <c r="G207" s="17" t="str">
        <f>IF(COUNTIFS('Question-Article-Match'!$A:$A,A207,'Question-Article-Match'!$C:$C,C207,'Question-Article-Match'!$F:$F,"direct match")&gt;0,"direct match",IF(COUNTIFS('Question-Article-Match'!$A:$A,A207,'Question-Article-Match'!$C:$C,C207,'Question-Article-Match'!$F:$F,"indirect match")&gt;0,"indirect match","no match"))</f>
        <v>no match</v>
      </c>
      <c r="H207" s="17">
        <f t="shared" si="17"/>
        <v>0</v>
      </c>
      <c r="I207" s="17">
        <f t="shared" si="18"/>
        <v>0</v>
      </c>
      <c r="J207" s="17" t="str">
        <f t="shared" si="19"/>
        <v>TN</v>
      </c>
    </row>
    <row r="208" spans="1:10">
      <c r="A208" s="17" t="s">
        <v>144</v>
      </c>
      <c r="B208" s="17" t="s">
        <v>145</v>
      </c>
      <c r="C208" s="17">
        <v>18</v>
      </c>
      <c r="D208" s="17" t="s">
        <v>24</v>
      </c>
      <c r="E208" s="17" t="s">
        <v>25</v>
      </c>
      <c r="F208" s="18">
        <v>0.20649999999999999</v>
      </c>
      <c r="G208" s="17" t="str">
        <f>IF(COUNTIFS('Question-Article-Match'!$A:$A,A208,'Question-Article-Match'!$C:$C,C208,'Question-Article-Match'!$F:$F,"direct match")&gt;0,"direct match",IF(COUNTIFS('Question-Article-Match'!$A:$A,A208,'Question-Article-Match'!$C:$C,C208,'Question-Article-Match'!$F:$F,"indirect match")&gt;0,"indirect match","no match"))</f>
        <v>no match</v>
      </c>
      <c r="H208" s="17">
        <f t="shared" si="17"/>
        <v>0</v>
      </c>
      <c r="I208" s="17">
        <f t="shared" si="18"/>
        <v>0</v>
      </c>
      <c r="J208" s="17" t="str">
        <f t="shared" si="19"/>
        <v>TN</v>
      </c>
    </row>
    <row r="209" spans="1:10">
      <c r="A209" s="17" t="s">
        <v>144</v>
      </c>
      <c r="B209" s="17" t="s">
        <v>145</v>
      </c>
      <c r="C209" s="17">
        <v>19</v>
      </c>
      <c r="D209" s="17" t="s">
        <v>14</v>
      </c>
      <c r="E209" s="17" t="s">
        <v>15</v>
      </c>
      <c r="F209" s="18">
        <v>0.46860000000000002</v>
      </c>
      <c r="G209" s="17" t="str">
        <f>IF(COUNTIFS('Question-Article-Match'!$A:$A,A209,'Question-Article-Match'!$C:$C,C209,'Question-Article-Match'!$F:$F,"direct match")&gt;0,"direct match",IF(COUNTIFS('Question-Article-Match'!$A:$A,A209,'Question-Article-Match'!$C:$C,C209,'Question-Article-Match'!$F:$F,"indirect match")&gt;0,"indirect match","no match"))</f>
        <v>indirect match</v>
      </c>
      <c r="H209" s="17">
        <f t="shared" si="17"/>
        <v>1</v>
      </c>
      <c r="I209" s="17">
        <f t="shared" si="18"/>
        <v>1</v>
      </c>
      <c r="J209" s="17" t="str">
        <f t="shared" si="19"/>
        <v>TP</v>
      </c>
    </row>
    <row r="210" spans="1:10">
      <c r="A210" s="17" t="s">
        <v>144</v>
      </c>
      <c r="B210" s="17" t="s">
        <v>145</v>
      </c>
      <c r="C210" s="17">
        <v>20</v>
      </c>
      <c r="D210" s="17" t="s">
        <v>113</v>
      </c>
      <c r="E210" s="17" t="s">
        <v>114</v>
      </c>
      <c r="F210" s="18">
        <v>0.16750000000000001</v>
      </c>
      <c r="G210" s="17" t="str">
        <f>IF(COUNTIFS('Question-Article-Match'!$A:$A,A210,'Question-Article-Match'!$C:$C,C210,'Question-Article-Match'!$F:$F,"direct match")&gt;0,"direct match",IF(COUNTIFS('Question-Article-Match'!$A:$A,A210,'Question-Article-Match'!$C:$C,C210,'Question-Article-Match'!$F:$F,"indirect match")&gt;0,"indirect match","no match"))</f>
        <v>no match</v>
      </c>
      <c r="H210" s="17">
        <f t="shared" si="17"/>
        <v>0</v>
      </c>
      <c r="I210" s="17">
        <f t="shared" si="18"/>
        <v>0</v>
      </c>
      <c r="J210" s="17" t="str">
        <f t="shared" si="19"/>
        <v>TN</v>
      </c>
    </row>
    <row r="211" spans="1:10">
      <c r="A211" s="17" t="s">
        <v>144</v>
      </c>
      <c r="B211" s="17" t="s">
        <v>145</v>
      </c>
      <c r="C211" s="17">
        <v>21</v>
      </c>
      <c r="D211" s="17" t="s">
        <v>46</v>
      </c>
      <c r="E211" s="17" t="s">
        <v>47</v>
      </c>
      <c r="F211" s="18">
        <v>0.17169999999999999</v>
      </c>
      <c r="G211" s="17" t="str">
        <f>IF(COUNTIFS('Question-Article-Match'!$A:$A,A211,'Question-Article-Match'!$C:$C,C211,'Question-Article-Match'!$F:$F,"direct match")&gt;0,"direct match",IF(COUNTIFS('Question-Article-Match'!$A:$A,A211,'Question-Article-Match'!$C:$C,C211,'Question-Article-Match'!$F:$F,"indirect match")&gt;0,"indirect match","no match"))</f>
        <v>no match</v>
      </c>
      <c r="H211" s="17">
        <f t="shared" si="17"/>
        <v>0</v>
      </c>
      <c r="I211" s="17">
        <f t="shared" si="18"/>
        <v>0</v>
      </c>
      <c r="J211" s="17" t="str">
        <f t="shared" si="19"/>
        <v>TN</v>
      </c>
    </row>
    <row r="212" spans="1:10">
      <c r="A212" s="17" t="s">
        <v>147</v>
      </c>
      <c r="B212" s="17" t="s">
        <v>148</v>
      </c>
      <c r="C212" s="17">
        <v>1</v>
      </c>
      <c r="D212" s="17" t="s">
        <v>22</v>
      </c>
      <c r="E212" s="17" t="s">
        <v>23</v>
      </c>
      <c r="F212" s="18">
        <v>0.2419</v>
      </c>
      <c r="G212" s="17" t="str">
        <f>IF(COUNTIFS('Question-Article-Match'!$A:$A,A212,'Question-Article-Match'!$C:$C,C212,'Question-Article-Match'!$F:$F,"direct match")&gt;0,"direct match",IF(COUNTIFS('Question-Article-Match'!$A:$A,A212,'Question-Article-Match'!$C:$C,C212,'Question-Article-Match'!$F:$F,"indirect match")&gt;0,"indirect match","no match"))</f>
        <v>no match</v>
      </c>
      <c r="H212" s="17">
        <f t="shared" si="17"/>
        <v>0</v>
      </c>
      <c r="I212" s="17">
        <f t="shared" si="18"/>
        <v>0</v>
      </c>
      <c r="J212" s="17" t="str">
        <f t="shared" si="19"/>
        <v>TN</v>
      </c>
    </row>
    <row r="213" spans="1:10">
      <c r="A213" s="17" t="s">
        <v>147</v>
      </c>
      <c r="B213" s="17" t="s">
        <v>148</v>
      </c>
      <c r="C213" s="17">
        <v>2</v>
      </c>
      <c r="D213" s="17" t="s">
        <v>18</v>
      </c>
      <c r="E213" s="17" t="s">
        <v>19</v>
      </c>
      <c r="F213" s="18">
        <v>0.35220000000000001</v>
      </c>
      <c r="G213" s="17" t="str">
        <f>IF(COUNTIFS('Question-Article-Match'!$A:$A,A213,'Question-Article-Match'!$C:$C,C213,'Question-Article-Match'!$F:$F,"direct match")&gt;0,"direct match",IF(COUNTIFS('Question-Article-Match'!$A:$A,A213,'Question-Article-Match'!$C:$C,C213,'Question-Article-Match'!$F:$F,"indirect match")&gt;0,"indirect match","no match"))</f>
        <v>no match</v>
      </c>
      <c r="H213" s="17">
        <f t="shared" si="17"/>
        <v>0</v>
      </c>
      <c r="I213" s="17">
        <f t="shared" si="18"/>
        <v>1</v>
      </c>
      <c r="J213" s="17" t="str">
        <f t="shared" si="19"/>
        <v>FP</v>
      </c>
    </row>
    <row r="214" spans="1:10">
      <c r="A214" s="17" t="s">
        <v>147</v>
      </c>
      <c r="B214" s="17" t="s">
        <v>148</v>
      </c>
      <c r="C214" s="17">
        <v>3</v>
      </c>
      <c r="D214" s="17" t="s">
        <v>26</v>
      </c>
      <c r="E214" s="17" t="s">
        <v>27</v>
      </c>
      <c r="F214" s="18">
        <v>0.27929999999999999</v>
      </c>
      <c r="G214" s="17" t="str">
        <f>IF(COUNTIFS('Question-Article-Match'!$A:$A,A214,'Question-Article-Match'!$C:$C,C214,'Question-Article-Match'!$F:$F,"direct match")&gt;0,"direct match",IF(COUNTIFS('Question-Article-Match'!$A:$A,A214,'Question-Article-Match'!$C:$C,C214,'Question-Article-Match'!$F:$F,"indirect match")&gt;0,"indirect match","no match"))</f>
        <v>no match</v>
      </c>
      <c r="H214" s="17">
        <f t="shared" si="17"/>
        <v>0</v>
      </c>
      <c r="I214" s="17">
        <f t="shared" si="18"/>
        <v>0</v>
      </c>
      <c r="J214" s="17" t="str">
        <f t="shared" si="19"/>
        <v>TN</v>
      </c>
    </row>
    <row r="215" spans="1:10">
      <c r="A215" s="17" t="s">
        <v>147</v>
      </c>
      <c r="B215" s="17" t="s">
        <v>148</v>
      </c>
      <c r="C215" s="17">
        <v>4</v>
      </c>
      <c r="D215" s="17" t="s">
        <v>64</v>
      </c>
      <c r="E215" s="17" t="s">
        <v>65</v>
      </c>
      <c r="F215" s="18">
        <v>0.1249</v>
      </c>
      <c r="G215" s="17" t="str">
        <f>IF(COUNTIFS('Question-Article-Match'!$A:$A,A215,'Question-Article-Match'!$C:$C,C215,'Question-Article-Match'!$F:$F,"direct match")&gt;0,"direct match",IF(COUNTIFS('Question-Article-Match'!$A:$A,A215,'Question-Article-Match'!$C:$C,C215,'Question-Article-Match'!$F:$F,"indirect match")&gt;0,"indirect match","no match"))</f>
        <v>no match</v>
      </c>
      <c r="H215" s="17">
        <f t="shared" si="17"/>
        <v>0</v>
      </c>
      <c r="I215" s="17">
        <f t="shared" si="18"/>
        <v>0</v>
      </c>
      <c r="J215" s="17" t="str">
        <f t="shared" si="19"/>
        <v>TN</v>
      </c>
    </row>
    <row r="216" spans="1:10">
      <c r="A216" s="17" t="s">
        <v>147</v>
      </c>
      <c r="B216" s="17" t="s">
        <v>148</v>
      </c>
      <c r="C216" s="17">
        <v>5</v>
      </c>
      <c r="D216" s="17" t="s">
        <v>36</v>
      </c>
      <c r="E216" s="17" t="s">
        <v>37</v>
      </c>
      <c r="F216" s="18">
        <v>0.25430000000000003</v>
      </c>
      <c r="G216" s="17" t="str">
        <f>IF(COUNTIFS('Question-Article-Match'!$A:$A,A216,'Question-Article-Match'!$C:$C,C216,'Question-Article-Match'!$F:$F,"direct match")&gt;0,"direct match",IF(COUNTIFS('Question-Article-Match'!$A:$A,A216,'Question-Article-Match'!$C:$C,C216,'Question-Article-Match'!$F:$F,"indirect match")&gt;0,"indirect match","no match"))</f>
        <v>no match</v>
      </c>
      <c r="H216" s="17">
        <f t="shared" si="17"/>
        <v>0</v>
      </c>
      <c r="I216" s="17">
        <f t="shared" si="18"/>
        <v>0</v>
      </c>
      <c r="J216" s="17" t="str">
        <f t="shared" si="19"/>
        <v>TN</v>
      </c>
    </row>
    <row r="217" spans="1:10">
      <c r="A217" s="17" t="s">
        <v>147</v>
      </c>
      <c r="B217" s="17" t="s">
        <v>148</v>
      </c>
      <c r="C217" s="17">
        <v>6</v>
      </c>
      <c r="D217" s="17" t="s">
        <v>28</v>
      </c>
      <c r="E217" s="17" t="s">
        <v>29</v>
      </c>
      <c r="F217" s="18">
        <v>0.19409999999999999</v>
      </c>
      <c r="G217" s="17" t="str">
        <f>IF(COUNTIFS('Question-Article-Match'!$A:$A,A217,'Question-Article-Match'!$C:$C,C217,'Question-Article-Match'!$F:$F,"direct match")&gt;0,"direct match",IF(COUNTIFS('Question-Article-Match'!$A:$A,A217,'Question-Article-Match'!$C:$C,C217,'Question-Article-Match'!$F:$F,"indirect match")&gt;0,"indirect match","no match"))</f>
        <v>no match</v>
      </c>
      <c r="H217" s="17">
        <f t="shared" si="17"/>
        <v>0</v>
      </c>
      <c r="I217" s="17">
        <f t="shared" si="18"/>
        <v>0</v>
      </c>
      <c r="J217" s="17" t="str">
        <f t="shared" si="19"/>
        <v>TN</v>
      </c>
    </row>
    <row r="218" spans="1:10">
      <c r="A218" s="17" t="s">
        <v>147</v>
      </c>
      <c r="B218" s="17" t="s">
        <v>148</v>
      </c>
      <c r="C218" s="17">
        <v>7</v>
      </c>
      <c r="D218" s="17" t="s">
        <v>75</v>
      </c>
      <c r="E218" s="17" t="s">
        <v>76</v>
      </c>
      <c r="F218" s="18">
        <v>0.35189999999999999</v>
      </c>
      <c r="G218" s="17" t="str">
        <f>IF(COUNTIFS('Question-Article-Match'!$A:$A,A218,'Question-Article-Match'!$C:$C,C218,'Question-Article-Match'!$F:$F,"direct match")&gt;0,"direct match",IF(COUNTIFS('Question-Article-Match'!$A:$A,A218,'Question-Article-Match'!$C:$C,C218,'Question-Article-Match'!$F:$F,"indirect match")&gt;0,"indirect match","no match"))</f>
        <v>no match</v>
      </c>
      <c r="H218" s="17">
        <f t="shared" si="17"/>
        <v>0</v>
      </c>
      <c r="I218" s="17">
        <f t="shared" si="18"/>
        <v>1</v>
      </c>
      <c r="J218" s="17" t="str">
        <f t="shared" si="19"/>
        <v>FP</v>
      </c>
    </row>
    <row r="219" spans="1:10">
      <c r="A219" s="17" t="s">
        <v>147</v>
      </c>
      <c r="B219" s="17" t="s">
        <v>148</v>
      </c>
      <c r="C219" s="17">
        <v>8</v>
      </c>
      <c r="D219" s="17" t="s">
        <v>40</v>
      </c>
      <c r="E219" s="17" t="s">
        <v>41</v>
      </c>
      <c r="F219" s="18">
        <v>0.224</v>
      </c>
      <c r="G219" s="17" t="str">
        <f>IF(COUNTIFS('Question-Article-Match'!$A:$A,A219,'Question-Article-Match'!$C:$C,C219,'Question-Article-Match'!$F:$F,"direct match")&gt;0,"direct match",IF(COUNTIFS('Question-Article-Match'!$A:$A,A219,'Question-Article-Match'!$C:$C,C219,'Question-Article-Match'!$F:$F,"indirect match")&gt;0,"indirect match","no match"))</f>
        <v>no match</v>
      </c>
      <c r="H219" s="17">
        <f t="shared" si="17"/>
        <v>0</v>
      </c>
      <c r="I219" s="17">
        <f t="shared" si="18"/>
        <v>0</v>
      </c>
      <c r="J219" s="17" t="str">
        <f t="shared" si="19"/>
        <v>TN</v>
      </c>
    </row>
    <row r="220" spans="1:10">
      <c r="A220" s="17" t="s">
        <v>147</v>
      </c>
      <c r="B220" s="17" t="s">
        <v>148</v>
      </c>
      <c r="C220" s="17">
        <v>9</v>
      </c>
      <c r="D220" s="17" t="s">
        <v>10</v>
      </c>
      <c r="E220" s="17" t="s">
        <v>11</v>
      </c>
      <c r="F220" s="18">
        <v>0.16889999999999999</v>
      </c>
      <c r="G220" s="17" t="str">
        <f>IF(COUNTIFS('Question-Article-Match'!$A:$A,A220,'Question-Article-Match'!$C:$C,C220,'Question-Article-Match'!$F:$F,"direct match")&gt;0,"direct match",IF(COUNTIFS('Question-Article-Match'!$A:$A,A220,'Question-Article-Match'!$C:$C,C220,'Question-Article-Match'!$F:$F,"indirect match")&gt;0,"indirect match","no match"))</f>
        <v>no match</v>
      </c>
      <c r="H220" s="17">
        <f t="shared" si="17"/>
        <v>0</v>
      </c>
      <c r="I220" s="17">
        <f t="shared" si="18"/>
        <v>0</v>
      </c>
      <c r="J220" s="17" t="str">
        <f t="shared" si="19"/>
        <v>TN</v>
      </c>
    </row>
    <row r="221" spans="1:10">
      <c r="A221" s="17" t="s">
        <v>147</v>
      </c>
      <c r="B221" s="17" t="s">
        <v>148</v>
      </c>
      <c r="C221" s="17">
        <v>10</v>
      </c>
      <c r="D221" s="17" t="s">
        <v>32</v>
      </c>
      <c r="E221" s="17" t="s">
        <v>33</v>
      </c>
      <c r="F221" s="18">
        <v>0.22919999999999999</v>
      </c>
      <c r="G221" s="17" t="str">
        <f>IF(COUNTIFS('Question-Article-Match'!$A:$A,A221,'Question-Article-Match'!$C:$C,C221,'Question-Article-Match'!$F:$F,"direct match")&gt;0,"direct match",IF(COUNTIFS('Question-Article-Match'!$A:$A,A221,'Question-Article-Match'!$C:$C,C221,'Question-Article-Match'!$F:$F,"indirect match")&gt;0,"indirect match","no match"))</f>
        <v>no match</v>
      </c>
      <c r="H221" s="17">
        <f t="shared" si="17"/>
        <v>0</v>
      </c>
      <c r="I221" s="17">
        <f t="shared" si="18"/>
        <v>0</v>
      </c>
      <c r="J221" s="17" t="str">
        <f t="shared" si="19"/>
        <v>TN</v>
      </c>
    </row>
    <row r="222" spans="1:10">
      <c r="A222" s="17" t="s">
        <v>147</v>
      </c>
      <c r="B222" s="17" t="s">
        <v>148</v>
      </c>
      <c r="C222" s="17">
        <v>11</v>
      </c>
      <c r="D222" s="17" t="s">
        <v>89</v>
      </c>
      <c r="E222" s="17" t="s">
        <v>90</v>
      </c>
      <c r="F222" s="18">
        <v>8.3900000000000002E-2</v>
      </c>
      <c r="G222" s="17" t="str">
        <f>IF(COUNTIFS('Question-Article-Match'!$A:$A,A222,'Question-Article-Match'!$C:$C,C222,'Question-Article-Match'!$F:$F,"direct match")&gt;0,"direct match",IF(COUNTIFS('Question-Article-Match'!$A:$A,A222,'Question-Article-Match'!$C:$C,C222,'Question-Article-Match'!$F:$F,"indirect match")&gt;0,"indirect match","no match"))</f>
        <v>no match</v>
      </c>
      <c r="H222" s="17">
        <f t="shared" si="17"/>
        <v>0</v>
      </c>
      <c r="I222" s="17">
        <f t="shared" si="18"/>
        <v>0</v>
      </c>
      <c r="J222" s="17" t="str">
        <f t="shared" si="19"/>
        <v>TN</v>
      </c>
    </row>
    <row r="223" spans="1:10">
      <c r="A223" s="17" t="s">
        <v>147</v>
      </c>
      <c r="B223" s="17" t="s">
        <v>148</v>
      </c>
      <c r="C223" s="17">
        <v>12</v>
      </c>
      <c r="D223" s="17" t="s">
        <v>20</v>
      </c>
      <c r="E223" s="17" t="s">
        <v>21</v>
      </c>
      <c r="F223" s="18">
        <v>0.34279999999999999</v>
      </c>
      <c r="G223" s="17" t="str">
        <f>IF(COUNTIFS('Question-Article-Match'!$A:$A,A223,'Question-Article-Match'!$C:$C,C223,'Question-Article-Match'!$F:$F,"direct match")&gt;0,"direct match",IF(COUNTIFS('Question-Article-Match'!$A:$A,A223,'Question-Article-Match'!$C:$C,C223,'Question-Article-Match'!$F:$F,"indirect match")&gt;0,"indirect match","no match"))</f>
        <v>no match</v>
      </c>
      <c r="H223" s="17">
        <f t="shared" si="17"/>
        <v>0</v>
      </c>
      <c r="I223" s="17">
        <f t="shared" si="18"/>
        <v>0</v>
      </c>
      <c r="J223" s="17" t="str">
        <f t="shared" si="19"/>
        <v>TN</v>
      </c>
    </row>
    <row r="224" spans="1:10">
      <c r="A224" s="17" t="s">
        <v>147</v>
      </c>
      <c r="B224" s="17" t="s">
        <v>148</v>
      </c>
      <c r="C224" s="17">
        <v>13</v>
      </c>
      <c r="D224" s="17" t="s">
        <v>34</v>
      </c>
      <c r="E224" s="17" t="s">
        <v>35</v>
      </c>
      <c r="F224" s="18">
        <v>0.16020000000000001</v>
      </c>
      <c r="G224" s="17" t="str">
        <f>IF(COUNTIFS('Question-Article-Match'!$A:$A,A224,'Question-Article-Match'!$C:$C,C224,'Question-Article-Match'!$F:$F,"direct match")&gt;0,"direct match",IF(COUNTIFS('Question-Article-Match'!$A:$A,A224,'Question-Article-Match'!$C:$C,C224,'Question-Article-Match'!$F:$F,"indirect match")&gt;0,"indirect match","no match"))</f>
        <v>no match</v>
      </c>
      <c r="H224" s="17">
        <f t="shared" si="17"/>
        <v>0</v>
      </c>
      <c r="I224" s="17">
        <f t="shared" si="18"/>
        <v>0</v>
      </c>
      <c r="J224" s="17" t="str">
        <f t="shared" si="19"/>
        <v>TN</v>
      </c>
    </row>
    <row r="225" spans="1:10">
      <c r="A225" s="17" t="s">
        <v>147</v>
      </c>
      <c r="B225" s="17" t="s">
        <v>148</v>
      </c>
      <c r="C225" s="17">
        <v>14</v>
      </c>
      <c r="D225" s="17" t="s">
        <v>16</v>
      </c>
      <c r="E225" s="17" t="s">
        <v>17</v>
      </c>
      <c r="F225" s="18">
        <v>0.35620000000000002</v>
      </c>
      <c r="G225" s="17" t="str">
        <f>IF(COUNTIFS('Question-Article-Match'!$A:$A,A225,'Question-Article-Match'!$C:$C,C225,'Question-Article-Match'!$F:$F,"direct match")&gt;0,"direct match",IF(COUNTIFS('Question-Article-Match'!$A:$A,A225,'Question-Article-Match'!$C:$C,C225,'Question-Article-Match'!$F:$F,"indirect match")&gt;0,"indirect match","no match"))</f>
        <v>no match</v>
      </c>
      <c r="H225" s="17">
        <f t="shared" si="17"/>
        <v>0</v>
      </c>
      <c r="I225" s="17">
        <f t="shared" si="18"/>
        <v>1</v>
      </c>
      <c r="J225" s="17" t="str">
        <f t="shared" si="19"/>
        <v>FP</v>
      </c>
    </row>
    <row r="226" spans="1:10">
      <c r="A226" s="17" t="s">
        <v>147</v>
      </c>
      <c r="B226" s="17" t="s">
        <v>148</v>
      </c>
      <c r="C226" s="17">
        <v>15</v>
      </c>
      <c r="D226" s="17" t="s">
        <v>42</v>
      </c>
      <c r="E226" s="17" t="s">
        <v>43</v>
      </c>
      <c r="F226" s="18">
        <v>0.22370000000000001</v>
      </c>
      <c r="G226" s="17" t="str">
        <f>IF(COUNTIFS('Question-Article-Match'!$A:$A,A226,'Question-Article-Match'!$C:$C,C226,'Question-Article-Match'!$F:$F,"direct match")&gt;0,"direct match",IF(COUNTIFS('Question-Article-Match'!$A:$A,A226,'Question-Article-Match'!$C:$C,C226,'Question-Article-Match'!$F:$F,"indirect match")&gt;0,"indirect match","no match"))</f>
        <v>no match</v>
      </c>
      <c r="H226" s="17">
        <f t="shared" si="17"/>
        <v>0</v>
      </c>
      <c r="I226" s="17">
        <f t="shared" si="18"/>
        <v>0</v>
      </c>
      <c r="J226" s="17" t="str">
        <f t="shared" si="19"/>
        <v>TN</v>
      </c>
    </row>
    <row r="227" spans="1:10">
      <c r="A227" s="17" t="s">
        <v>147</v>
      </c>
      <c r="B227" s="17" t="s">
        <v>148</v>
      </c>
      <c r="C227" s="17">
        <v>16</v>
      </c>
      <c r="D227" s="17" t="s">
        <v>12</v>
      </c>
      <c r="E227" s="17" t="s">
        <v>13</v>
      </c>
      <c r="F227" s="18">
        <v>0.55940000000000001</v>
      </c>
      <c r="G227" s="17" t="str">
        <f>IF(COUNTIFS('Question-Article-Match'!$A:$A,A227,'Question-Article-Match'!$C:$C,C227,'Question-Article-Match'!$F:$F,"direct match")&gt;0,"direct match",IF(COUNTIFS('Question-Article-Match'!$A:$A,A227,'Question-Article-Match'!$C:$C,C227,'Question-Article-Match'!$F:$F,"indirect match")&gt;0,"indirect match","no match"))</f>
        <v>no match</v>
      </c>
      <c r="H227" s="17">
        <f t="shared" si="17"/>
        <v>0</v>
      </c>
      <c r="I227" s="17">
        <f t="shared" si="18"/>
        <v>1</v>
      </c>
      <c r="J227" s="17" t="str">
        <f t="shared" si="19"/>
        <v>FP</v>
      </c>
    </row>
    <row r="228" spans="1:10">
      <c r="A228" s="17" t="s">
        <v>147</v>
      </c>
      <c r="B228" s="17" t="s">
        <v>148</v>
      </c>
      <c r="C228" s="17">
        <v>17</v>
      </c>
      <c r="D228" s="17" t="s">
        <v>108</v>
      </c>
      <c r="E228" s="17" t="s">
        <v>109</v>
      </c>
      <c r="F228" s="18">
        <v>0.14710000000000001</v>
      </c>
      <c r="G228" s="17" t="str">
        <f>IF(COUNTIFS('Question-Article-Match'!$A:$A,A228,'Question-Article-Match'!$C:$C,C228,'Question-Article-Match'!$F:$F,"direct match")&gt;0,"direct match",IF(COUNTIFS('Question-Article-Match'!$A:$A,A228,'Question-Article-Match'!$C:$C,C228,'Question-Article-Match'!$F:$F,"indirect match")&gt;0,"indirect match","no match"))</f>
        <v>no match</v>
      </c>
      <c r="H228" s="17">
        <f t="shared" si="17"/>
        <v>0</v>
      </c>
      <c r="I228" s="17">
        <f t="shared" si="18"/>
        <v>0</v>
      </c>
      <c r="J228" s="17" t="str">
        <f t="shared" si="19"/>
        <v>TN</v>
      </c>
    </row>
    <row r="229" spans="1:10">
      <c r="A229" s="17" t="s">
        <v>147</v>
      </c>
      <c r="B229" s="17" t="s">
        <v>148</v>
      </c>
      <c r="C229" s="17">
        <v>18</v>
      </c>
      <c r="D229" s="17" t="s">
        <v>24</v>
      </c>
      <c r="E229" s="17" t="s">
        <v>25</v>
      </c>
      <c r="F229" s="18">
        <v>0.38080000000000003</v>
      </c>
      <c r="G229" s="17" t="str">
        <f>IF(COUNTIFS('Question-Article-Match'!$A:$A,A229,'Question-Article-Match'!$C:$C,C229,'Question-Article-Match'!$F:$F,"direct match")&gt;0,"direct match",IF(COUNTIFS('Question-Article-Match'!$A:$A,A229,'Question-Article-Match'!$C:$C,C229,'Question-Article-Match'!$F:$F,"indirect match")&gt;0,"indirect match","no match"))</f>
        <v>no match</v>
      </c>
      <c r="H229" s="17">
        <f t="shared" si="17"/>
        <v>0</v>
      </c>
      <c r="I229" s="17">
        <f t="shared" si="18"/>
        <v>1</v>
      </c>
      <c r="J229" s="17" t="str">
        <f t="shared" si="19"/>
        <v>FP</v>
      </c>
    </row>
    <row r="230" spans="1:10">
      <c r="A230" s="17" t="s">
        <v>147</v>
      </c>
      <c r="B230" s="17" t="s">
        <v>148</v>
      </c>
      <c r="C230" s="17">
        <v>19</v>
      </c>
      <c r="D230" s="17" t="s">
        <v>14</v>
      </c>
      <c r="E230" s="17" t="s">
        <v>15</v>
      </c>
      <c r="F230" s="18">
        <v>0.52859999999999996</v>
      </c>
      <c r="G230" s="17" t="str">
        <f>IF(COUNTIFS('Question-Article-Match'!$A:$A,A230,'Question-Article-Match'!$C:$C,C230,'Question-Article-Match'!$F:$F,"direct match")&gt;0,"direct match",IF(COUNTIFS('Question-Article-Match'!$A:$A,A230,'Question-Article-Match'!$C:$C,C230,'Question-Article-Match'!$F:$F,"indirect match")&gt;0,"indirect match","no match"))</f>
        <v>no match</v>
      </c>
      <c r="H230" s="17">
        <f t="shared" si="17"/>
        <v>0</v>
      </c>
      <c r="I230" s="17">
        <f t="shared" si="18"/>
        <v>1</v>
      </c>
      <c r="J230" s="17" t="str">
        <f t="shared" si="19"/>
        <v>FP</v>
      </c>
    </row>
    <row r="231" spans="1:10">
      <c r="A231" s="17" t="s">
        <v>147</v>
      </c>
      <c r="B231" s="17" t="s">
        <v>148</v>
      </c>
      <c r="C231" s="17">
        <v>20</v>
      </c>
      <c r="D231" s="17" t="s">
        <v>113</v>
      </c>
      <c r="E231" s="17" t="s">
        <v>114</v>
      </c>
      <c r="F231" s="18">
        <v>0.1106</v>
      </c>
      <c r="G231" s="17" t="str">
        <f>IF(COUNTIFS('Question-Article-Match'!$A:$A,A231,'Question-Article-Match'!$C:$C,C231,'Question-Article-Match'!$F:$F,"direct match")&gt;0,"direct match",IF(COUNTIFS('Question-Article-Match'!$A:$A,A231,'Question-Article-Match'!$C:$C,C231,'Question-Article-Match'!$F:$F,"indirect match")&gt;0,"indirect match","no match"))</f>
        <v>no match</v>
      </c>
      <c r="H231" s="17">
        <f t="shared" si="17"/>
        <v>0</v>
      </c>
      <c r="I231" s="17">
        <f t="shared" si="18"/>
        <v>0</v>
      </c>
      <c r="J231" s="17" t="str">
        <f t="shared" si="19"/>
        <v>TN</v>
      </c>
    </row>
    <row r="232" spans="1:10">
      <c r="A232" s="17" t="s">
        <v>147</v>
      </c>
      <c r="B232" s="17" t="s">
        <v>148</v>
      </c>
      <c r="C232" s="17">
        <v>21</v>
      </c>
      <c r="D232" s="17" t="s">
        <v>46</v>
      </c>
      <c r="E232" s="17" t="s">
        <v>47</v>
      </c>
      <c r="F232" s="18">
        <v>0.11070000000000001</v>
      </c>
      <c r="G232" s="17" t="str">
        <f>IF(COUNTIFS('Question-Article-Match'!$A:$A,A232,'Question-Article-Match'!$C:$C,C232,'Question-Article-Match'!$F:$F,"direct match")&gt;0,"direct match",IF(COUNTIFS('Question-Article-Match'!$A:$A,A232,'Question-Article-Match'!$C:$C,C232,'Question-Article-Match'!$F:$F,"indirect match")&gt;0,"indirect match","no match"))</f>
        <v>no match</v>
      </c>
      <c r="H232" s="17">
        <f t="shared" si="17"/>
        <v>0</v>
      </c>
      <c r="I232" s="17">
        <f t="shared" si="18"/>
        <v>0</v>
      </c>
      <c r="J232" s="17" t="str">
        <f t="shared" si="19"/>
        <v>TN</v>
      </c>
    </row>
    <row r="233" spans="1:10">
      <c r="A233" s="17" t="s">
        <v>150</v>
      </c>
      <c r="B233" s="17" t="s">
        <v>151</v>
      </c>
      <c r="C233" s="17">
        <v>1</v>
      </c>
      <c r="D233" s="17" t="s">
        <v>22</v>
      </c>
      <c r="E233" s="17" t="s">
        <v>23</v>
      </c>
      <c r="F233" s="18">
        <v>9.6699999999999994E-2</v>
      </c>
      <c r="G233" s="17" t="str">
        <f>IF(COUNTIFS('Question-Article-Match'!$A:$A,A233,'Question-Article-Match'!$C:$C,C233,'Question-Article-Match'!$F:$F,"direct match")&gt;0,"direct match",IF(COUNTIFS('Question-Article-Match'!$A:$A,A233,'Question-Article-Match'!$C:$C,C233,'Question-Article-Match'!$F:$F,"indirect match")&gt;0,"indirect match","no match"))</f>
        <v>no match</v>
      </c>
      <c r="H233" s="17">
        <f t="shared" si="17"/>
        <v>0</v>
      </c>
      <c r="I233" s="17">
        <f t="shared" si="18"/>
        <v>0</v>
      </c>
      <c r="J233" s="17" t="str">
        <f t="shared" si="19"/>
        <v>TN</v>
      </c>
    </row>
    <row r="234" spans="1:10">
      <c r="A234" s="17" t="s">
        <v>150</v>
      </c>
      <c r="B234" s="17" t="s">
        <v>151</v>
      </c>
      <c r="C234" s="17">
        <v>2</v>
      </c>
      <c r="D234" s="17" t="s">
        <v>18</v>
      </c>
      <c r="E234" s="17" t="s">
        <v>19</v>
      </c>
      <c r="F234" s="18">
        <v>0.14560000000000001</v>
      </c>
      <c r="G234" s="17" t="str">
        <f>IF(COUNTIFS('Question-Article-Match'!$A:$A,A234,'Question-Article-Match'!$C:$C,C234,'Question-Article-Match'!$F:$F,"direct match")&gt;0,"direct match",IF(COUNTIFS('Question-Article-Match'!$A:$A,A234,'Question-Article-Match'!$C:$C,C234,'Question-Article-Match'!$F:$F,"indirect match")&gt;0,"indirect match","no match"))</f>
        <v>no match</v>
      </c>
      <c r="H234" s="17">
        <f t="shared" si="17"/>
        <v>0</v>
      </c>
      <c r="I234" s="17">
        <f t="shared" si="18"/>
        <v>0</v>
      </c>
      <c r="J234" s="17" t="str">
        <f t="shared" si="19"/>
        <v>TN</v>
      </c>
    </row>
    <row r="235" spans="1:10">
      <c r="A235" s="17" t="s">
        <v>150</v>
      </c>
      <c r="B235" s="17" t="s">
        <v>151</v>
      </c>
      <c r="C235" s="17">
        <v>3</v>
      </c>
      <c r="D235" s="17" t="s">
        <v>26</v>
      </c>
      <c r="E235" s="17" t="s">
        <v>27</v>
      </c>
      <c r="F235" s="18">
        <v>0.22919999999999999</v>
      </c>
      <c r="G235" s="17" t="str">
        <f>IF(COUNTIFS('Question-Article-Match'!$A:$A,A235,'Question-Article-Match'!$C:$C,C235,'Question-Article-Match'!$F:$F,"direct match")&gt;0,"direct match",IF(COUNTIFS('Question-Article-Match'!$A:$A,A235,'Question-Article-Match'!$C:$C,C235,'Question-Article-Match'!$F:$F,"indirect match")&gt;0,"indirect match","no match"))</f>
        <v>no match</v>
      </c>
      <c r="H235" s="17">
        <f t="shared" si="17"/>
        <v>0</v>
      </c>
      <c r="I235" s="17">
        <f t="shared" si="18"/>
        <v>0</v>
      </c>
      <c r="J235" s="17" t="str">
        <f t="shared" si="19"/>
        <v>TN</v>
      </c>
    </row>
    <row r="236" spans="1:10">
      <c r="A236" s="17" t="s">
        <v>150</v>
      </c>
      <c r="B236" s="17" t="s">
        <v>151</v>
      </c>
      <c r="C236" s="17">
        <v>4</v>
      </c>
      <c r="D236" s="17" t="s">
        <v>64</v>
      </c>
      <c r="E236" s="17" t="s">
        <v>65</v>
      </c>
      <c r="F236" s="18">
        <v>1.3100000000000001E-2</v>
      </c>
      <c r="G236" s="17" t="str">
        <f>IF(COUNTIFS('Question-Article-Match'!$A:$A,A236,'Question-Article-Match'!$C:$C,C236,'Question-Article-Match'!$F:$F,"direct match")&gt;0,"direct match",IF(COUNTIFS('Question-Article-Match'!$A:$A,A236,'Question-Article-Match'!$C:$C,C236,'Question-Article-Match'!$F:$F,"indirect match")&gt;0,"indirect match","no match"))</f>
        <v>no match</v>
      </c>
      <c r="H236" s="17">
        <f t="shared" si="17"/>
        <v>0</v>
      </c>
      <c r="I236" s="17">
        <f t="shared" si="18"/>
        <v>0</v>
      </c>
      <c r="J236" s="17" t="str">
        <f t="shared" si="19"/>
        <v>TN</v>
      </c>
    </row>
    <row r="237" spans="1:10">
      <c r="A237" s="17" t="s">
        <v>150</v>
      </c>
      <c r="B237" s="17" t="s">
        <v>151</v>
      </c>
      <c r="C237" s="17">
        <v>5</v>
      </c>
      <c r="D237" s="17" t="s">
        <v>36</v>
      </c>
      <c r="E237" s="17" t="s">
        <v>37</v>
      </c>
      <c r="F237" s="18">
        <v>0.20449999999999999</v>
      </c>
      <c r="G237" s="17" t="str">
        <f>IF(COUNTIFS('Question-Article-Match'!$A:$A,A237,'Question-Article-Match'!$C:$C,C237,'Question-Article-Match'!$F:$F,"direct match")&gt;0,"direct match",IF(COUNTIFS('Question-Article-Match'!$A:$A,A237,'Question-Article-Match'!$C:$C,C237,'Question-Article-Match'!$F:$F,"indirect match")&gt;0,"indirect match","no match"))</f>
        <v>no match</v>
      </c>
      <c r="H237" s="17">
        <f t="shared" si="17"/>
        <v>0</v>
      </c>
      <c r="I237" s="17">
        <f t="shared" si="18"/>
        <v>0</v>
      </c>
      <c r="J237" s="17" t="str">
        <f t="shared" si="19"/>
        <v>TN</v>
      </c>
    </row>
    <row r="238" spans="1:10">
      <c r="A238" s="17" t="s">
        <v>150</v>
      </c>
      <c r="B238" s="17" t="s">
        <v>151</v>
      </c>
      <c r="C238" s="17">
        <v>6</v>
      </c>
      <c r="D238" s="17" t="s">
        <v>28</v>
      </c>
      <c r="E238" s="17" t="s">
        <v>29</v>
      </c>
      <c r="F238" s="18">
        <v>0.1401</v>
      </c>
      <c r="G238" s="17" t="str">
        <f>IF(COUNTIFS('Question-Article-Match'!$A:$A,A238,'Question-Article-Match'!$C:$C,C238,'Question-Article-Match'!$F:$F,"direct match")&gt;0,"direct match",IF(COUNTIFS('Question-Article-Match'!$A:$A,A238,'Question-Article-Match'!$C:$C,C238,'Question-Article-Match'!$F:$F,"indirect match")&gt;0,"indirect match","no match"))</f>
        <v>no match</v>
      </c>
      <c r="H238" s="17">
        <f t="shared" si="17"/>
        <v>0</v>
      </c>
      <c r="I238" s="17">
        <f t="shared" si="18"/>
        <v>0</v>
      </c>
      <c r="J238" s="17" t="str">
        <f t="shared" si="19"/>
        <v>TN</v>
      </c>
    </row>
    <row r="239" spans="1:10">
      <c r="A239" s="17" t="s">
        <v>150</v>
      </c>
      <c r="B239" s="17" t="s">
        <v>151</v>
      </c>
      <c r="C239" s="17">
        <v>7</v>
      </c>
      <c r="D239" s="17" t="s">
        <v>75</v>
      </c>
      <c r="E239" s="17" t="s">
        <v>76</v>
      </c>
      <c r="F239" s="18">
        <v>0.19040000000000001</v>
      </c>
      <c r="G239" s="17" t="str">
        <f>IF(COUNTIFS('Question-Article-Match'!$A:$A,A239,'Question-Article-Match'!$C:$C,C239,'Question-Article-Match'!$F:$F,"direct match")&gt;0,"direct match",IF(COUNTIFS('Question-Article-Match'!$A:$A,A239,'Question-Article-Match'!$C:$C,C239,'Question-Article-Match'!$F:$F,"indirect match")&gt;0,"indirect match","no match"))</f>
        <v>no match</v>
      </c>
      <c r="H239" s="17">
        <f t="shared" si="17"/>
        <v>0</v>
      </c>
      <c r="I239" s="17">
        <f t="shared" si="18"/>
        <v>0</v>
      </c>
      <c r="J239" s="17" t="str">
        <f t="shared" si="19"/>
        <v>TN</v>
      </c>
    </row>
    <row r="240" spans="1:10">
      <c r="A240" s="17" t="s">
        <v>150</v>
      </c>
      <c r="B240" s="17" t="s">
        <v>151</v>
      </c>
      <c r="C240" s="17">
        <v>8</v>
      </c>
      <c r="D240" s="17" t="s">
        <v>40</v>
      </c>
      <c r="E240" s="17" t="s">
        <v>41</v>
      </c>
      <c r="F240" s="18">
        <v>0.18079999999999999</v>
      </c>
      <c r="G240" s="17" t="str">
        <f>IF(COUNTIFS('Question-Article-Match'!$A:$A,A240,'Question-Article-Match'!$C:$C,C240,'Question-Article-Match'!$F:$F,"direct match")&gt;0,"direct match",IF(COUNTIFS('Question-Article-Match'!$A:$A,A240,'Question-Article-Match'!$C:$C,C240,'Question-Article-Match'!$F:$F,"indirect match")&gt;0,"indirect match","no match"))</f>
        <v>no match</v>
      </c>
      <c r="H240" s="17">
        <f t="shared" si="17"/>
        <v>0</v>
      </c>
      <c r="I240" s="17">
        <f t="shared" si="18"/>
        <v>0</v>
      </c>
      <c r="J240" s="17" t="str">
        <f t="shared" si="19"/>
        <v>TN</v>
      </c>
    </row>
    <row r="241" spans="1:10">
      <c r="A241" s="17" t="s">
        <v>150</v>
      </c>
      <c r="B241" s="17" t="s">
        <v>151</v>
      </c>
      <c r="C241" s="17">
        <v>9</v>
      </c>
      <c r="D241" s="17" t="s">
        <v>10</v>
      </c>
      <c r="E241" s="17" t="s">
        <v>11</v>
      </c>
      <c r="F241" s="18">
        <v>7.0099999999999996E-2</v>
      </c>
      <c r="G241" s="17" t="str">
        <f>IF(COUNTIFS('Question-Article-Match'!$A:$A,A241,'Question-Article-Match'!$C:$C,C241,'Question-Article-Match'!$F:$F,"direct match")&gt;0,"direct match",IF(COUNTIFS('Question-Article-Match'!$A:$A,A241,'Question-Article-Match'!$C:$C,C241,'Question-Article-Match'!$F:$F,"indirect match")&gt;0,"indirect match","no match"))</f>
        <v>no match</v>
      </c>
      <c r="H241" s="17">
        <f t="shared" si="17"/>
        <v>0</v>
      </c>
      <c r="I241" s="17">
        <f t="shared" si="18"/>
        <v>0</v>
      </c>
      <c r="J241" s="17" t="str">
        <f t="shared" si="19"/>
        <v>TN</v>
      </c>
    </row>
    <row r="242" spans="1:10">
      <c r="A242" s="17" t="s">
        <v>150</v>
      </c>
      <c r="B242" s="17" t="s">
        <v>151</v>
      </c>
      <c r="C242" s="17">
        <v>10</v>
      </c>
      <c r="D242" s="17" t="s">
        <v>32</v>
      </c>
      <c r="E242" s="17" t="s">
        <v>33</v>
      </c>
      <c r="F242" s="18">
        <v>0.2162</v>
      </c>
      <c r="G242" s="17" t="str">
        <f>IF(COUNTIFS('Question-Article-Match'!$A:$A,A242,'Question-Article-Match'!$C:$C,C242,'Question-Article-Match'!$F:$F,"direct match")&gt;0,"direct match",IF(COUNTIFS('Question-Article-Match'!$A:$A,A242,'Question-Article-Match'!$C:$C,C242,'Question-Article-Match'!$F:$F,"indirect match")&gt;0,"indirect match","no match"))</f>
        <v>no match</v>
      </c>
      <c r="H242" s="17">
        <f t="shared" si="17"/>
        <v>0</v>
      </c>
      <c r="I242" s="17">
        <f t="shared" si="18"/>
        <v>0</v>
      </c>
      <c r="J242" s="17" t="str">
        <f t="shared" si="19"/>
        <v>TN</v>
      </c>
    </row>
    <row r="243" spans="1:10">
      <c r="A243" s="17" t="s">
        <v>150</v>
      </c>
      <c r="B243" s="17" t="s">
        <v>151</v>
      </c>
      <c r="C243" s="17">
        <v>11</v>
      </c>
      <c r="D243" s="17" t="s">
        <v>89</v>
      </c>
      <c r="E243" s="17" t="s">
        <v>90</v>
      </c>
      <c r="F243" s="18">
        <v>0.1341</v>
      </c>
      <c r="G243" s="17" t="str">
        <f>IF(COUNTIFS('Question-Article-Match'!$A:$A,A243,'Question-Article-Match'!$C:$C,C243,'Question-Article-Match'!$F:$F,"direct match")&gt;0,"direct match",IF(COUNTIFS('Question-Article-Match'!$A:$A,A243,'Question-Article-Match'!$C:$C,C243,'Question-Article-Match'!$F:$F,"indirect match")&gt;0,"indirect match","no match"))</f>
        <v>no match</v>
      </c>
      <c r="H243" s="17">
        <f t="shared" si="17"/>
        <v>0</v>
      </c>
      <c r="I243" s="17">
        <f t="shared" si="18"/>
        <v>0</v>
      </c>
      <c r="J243" s="17" t="str">
        <f t="shared" si="19"/>
        <v>TN</v>
      </c>
    </row>
    <row r="244" spans="1:10">
      <c r="A244" s="17" t="s">
        <v>150</v>
      </c>
      <c r="B244" s="17" t="s">
        <v>151</v>
      </c>
      <c r="C244" s="17">
        <v>12</v>
      </c>
      <c r="D244" s="17" t="s">
        <v>20</v>
      </c>
      <c r="E244" s="17" t="s">
        <v>21</v>
      </c>
      <c r="F244" s="18">
        <v>0.29609999999999997</v>
      </c>
      <c r="G244" s="17" t="str">
        <f>IF(COUNTIFS('Question-Article-Match'!$A:$A,A244,'Question-Article-Match'!$C:$C,C244,'Question-Article-Match'!$F:$F,"direct match")&gt;0,"direct match",IF(COUNTIFS('Question-Article-Match'!$A:$A,A244,'Question-Article-Match'!$C:$C,C244,'Question-Article-Match'!$F:$F,"indirect match")&gt;0,"indirect match","no match"))</f>
        <v>no match</v>
      </c>
      <c r="H244" s="17">
        <f t="shared" si="17"/>
        <v>0</v>
      </c>
      <c r="I244" s="17">
        <f t="shared" si="18"/>
        <v>0</v>
      </c>
      <c r="J244" s="17" t="str">
        <f t="shared" si="19"/>
        <v>TN</v>
      </c>
    </row>
    <row r="245" spans="1:10">
      <c r="A245" s="17" t="s">
        <v>150</v>
      </c>
      <c r="B245" s="17" t="s">
        <v>151</v>
      </c>
      <c r="C245" s="17">
        <v>13</v>
      </c>
      <c r="D245" s="17" t="s">
        <v>34</v>
      </c>
      <c r="E245" s="17" t="s">
        <v>35</v>
      </c>
      <c r="F245" s="18">
        <v>0.16520000000000001</v>
      </c>
      <c r="G245" s="17" t="str">
        <f>IF(COUNTIFS('Question-Article-Match'!$A:$A,A245,'Question-Article-Match'!$C:$C,C245,'Question-Article-Match'!$F:$F,"direct match")&gt;0,"direct match",IF(COUNTIFS('Question-Article-Match'!$A:$A,A245,'Question-Article-Match'!$C:$C,C245,'Question-Article-Match'!$F:$F,"indirect match")&gt;0,"indirect match","no match"))</f>
        <v>no match</v>
      </c>
      <c r="H245" s="17">
        <f t="shared" si="17"/>
        <v>0</v>
      </c>
      <c r="I245" s="17">
        <f t="shared" si="18"/>
        <v>0</v>
      </c>
      <c r="J245" s="17" t="str">
        <f t="shared" si="19"/>
        <v>TN</v>
      </c>
    </row>
    <row r="246" spans="1:10">
      <c r="A246" s="17" t="s">
        <v>150</v>
      </c>
      <c r="B246" s="17" t="s">
        <v>151</v>
      </c>
      <c r="C246" s="17">
        <v>14</v>
      </c>
      <c r="D246" s="17" t="s">
        <v>16</v>
      </c>
      <c r="E246" s="17" t="s">
        <v>17</v>
      </c>
      <c r="F246" s="18">
        <v>0.18820000000000001</v>
      </c>
      <c r="G246" s="17" t="str">
        <f>IF(COUNTIFS('Question-Article-Match'!$A:$A,A246,'Question-Article-Match'!$C:$C,C246,'Question-Article-Match'!$F:$F,"direct match")&gt;0,"direct match",IF(COUNTIFS('Question-Article-Match'!$A:$A,A246,'Question-Article-Match'!$C:$C,C246,'Question-Article-Match'!$F:$F,"indirect match")&gt;0,"indirect match","no match"))</f>
        <v>no match</v>
      </c>
      <c r="H246" s="17">
        <f t="shared" si="17"/>
        <v>0</v>
      </c>
      <c r="I246" s="17">
        <f t="shared" si="18"/>
        <v>0</v>
      </c>
      <c r="J246" s="17" t="str">
        <f t="shared" si="19"/>
        <v>TN</v>
      </c>
    </row>
    <row r="247" spans="1:10">
      <c r="A247" s="17" t="s">
        <v>150</v>
      </c>
      <c r="B247" s="17" t="s">
        <v>151</v>
      </c>
      <c r="C247" s="17">
        <v>15</v>
      </c>
      <c r="D247" s="17" t="s">
        <v>42</v>
      </c>
      <c r="E247" s="17" t="s">
        <v>43</v>
      </c>
      <c r="F247" s="18">
        <v>0.10299999999999999</v>
      </c>
      <c r="G247" s="17" t="str">
        <f>IF(COUNTIFS('Question-Article-Match'!$A:$A,A247,'Question-Article-Match'!$C:$C,C247,'Question-Article-Match'!$F:$F,"direct match")&gt;0,"direct match",IF(COUNTIFS('Question-Article-Match'!$A:$A,A247,'Question-Article-Match'!$C:$C,C247,'Question-Article-Match'!$F:$F,"indirect match")&gt;0,"indirect match","no match"))</f>
        <v>no match</v>
      </c>
      <c r="H247" s="17">
        <f t="shared" si="17"/>
        <v>0</v>
      </c>
      <c r="I247" s="17">
        <f t="shared" si="18"/>
        <v>0</v>
      </c>
      <c r="J247" s="17" t="str">
        <f t="shared" si="19"/>
        <v>TN</v>
      </c>
    </row>
    <row r="248" spans="1:10">
      <c r="A248" s="17" t="s">
        <v>150</v>
      </c>
      <c r="B248" s="17" t="s">
        <v>151</v>
      </c>
      <c r="C248" s="17">
        <v>16</v>
      </c>
      <c r="D248" s="17" t="s">
        <v>12</v>
      </c>
      <c r="E248" s="17" t="s">
        <v>13</v>
      </c>
      <c r="F248" s="18">
        <v>0.31619999999999998</v>
      </c>
      <c r="G248" s="17" t="str">
        <f>IF(COUNTIFS('Question-Article-Match'!$A:$A,A248,'Question-Article-Match'!$C:$C,C248,'Question-Article-Match'!$F:$F,"direct match")&gt;0,"direct match",IF(COUNTIFS('Question-Article-Match'!$A:$A,A248,'Question-Article-Match'!$C:$C,C248,'Question-Article-Match'!$F:$F,"indirect match")&gt;0,"indirect match","no match"))</f>
        <v>no match</v>
      </c>
      <c r="H248" s="17">
        <f t="shared" si="17"/>
        <v>0</v>
      </c>
      <c r="I248" s="17">
        <f t="shared" si="18"/>
        <v>0</v>
      </c>
      <c r="J248" s="17" t="str">
        <f t="shared" si="19"/>
        <v>TN</v>
      </c>
    </row>
    <row r="249" spans="1:10">
      <c r="A249" s="17" t="s">
        <v>150</v>
      </c>
      <c r="B249" s="17" t="s">
        <v>151</v>
      </c>
      <c r="C249" s="17">
        <v>17</v>
      </c>
      <c r="D249" s="17" t="s">
        <v>108</v>
      </c>
      <c r="E249" s="17" t="s">
        <v>109</v>
      </c>
      <c r="F249" s="18">
        <v>7.6E-3</v>
      </c>
      <c r="G249" s="17" t="str">
        <f>IF(COUNTIFS('Question-Article-Match'!$A:$A,A249,'Question-Article-Match'!$C:$C,C249,'Question-Article-Match'!$F:$F,"direct match")&gt;0,"direct match",IF(COUNTIFS('Question-Article-Match'!$A:$A,A249,'Question-Article-Match'!$C:$C,C249,'Question-Article-Match'!$F:$F,"indirect match")&gt;0,"indirect match","no match"))</f>
        <v>no match</v>
      </c>
      <c r="H249" s="17">
        <f t="shared" si="17"/>
        <v>0</v>
      </c>
      <c r="I249" s="17">
        <f t="shared" si="18"/>
        <v>0</v>
      </c>
      <c r="J249" s="17" t="str">
        <f t="shared" si="19"/>
        <v>TN</v>
      </c>
    </row>
    <row r="250" spans="1:10">
      <c r="A250" s="17" t="s">
        <v>150</v>
      </c>
      <c r="B250" s="17" t="s">
        <v>151</v>
      </c>
      <c r="C250" s="17">
        <v>18</v>
      </c>
      <c r="D250" s="17" t="s">
        <v>24</v>
      </c>
      <c r="E250" s="17" t="s">
        <v>25</v>
      </c>
      <c r="F250" s="18">
        <v>0.18559999999999999</v>
      </c>
      <c r="G250" s="17" t="str">
        <f>IF(COUNTIFS('Question-Article-Match'!$A:$A,A250,'Question-Article-Match'!$C:$C,C250,'Question-Article-Match'!$F:$F,"direct match")&gt;0,"direct match",IF(COUNTIFS('Question-Article-Match'!$A:$A,A250,'Question-Article-Match'!$C:$C,C250,'Question-Article-Match'!$F:$F,"indirect match")&gt;0,"indirect match","no match"))</f>
        <v>no match</v>
      </c>
      <c r="H250" s="17">
        <f t="shared" si="17"/>
        <v>0</v>
      </c>
      <c r="I250" s="17">
        <f t="shared" si="18"/>
        <v>0</v>
      </c>
      <c r="J250" s="17" t="str">
        <f t="shared" si="19"/>
        <v>TN</v>
      </c>
    </row>
    <row r="251" spans="1:10">
      <c r="A251" s="17" t="s">
        <v>150</v>
      </c>
      <c r="B251" s="17" t="s">
        <v>151</v>
      </c>
      <c r="C251" s="17">
        <v>19</v>
      </c>
      <c r="D251" s="17" t="s">
        <v>14</v>
      </c>
      <c r="E251" s="17" t="s">
        <v>15</v>
      </c>
      <c r="F251" s="18">
        <v>0.3836</v>
      </c>
      <c r="G251" s="17" t="str">
        <f>IF(COUNTIFS('Question-Article-Match'!$A:$A,A251,'Question-Article-Match'!$C:$C,C251,'Question-Article-Match'!$F:$F,"direct match")&gt;0,"direct match",IF(COUNTIFS('Question-Article-Match'!$A:$A,A251,'Question-Article-Match'!$C:$C,C251,'Question-Article-Match'!$F:$F,"indirect match")&gt;0,"indirect match","no match"))</f>
        <v>no match</v>
      </c>
      <c r="H251" s="17">
        <f t="shared" si="17"/>
        <v>0</v>
      </c>
      <c r="I251" s="17">
        <f t="shared" si="18"/>
        <v>1</v>
      </c>
      <c r="J251" s="17" t="str">
        <f t="shared" si="19"/>
        <v>FP</v>
      </c>
    </row>
    <row r="252" spans="1:10">
      <c r="A252" s="17" t="s">
        <v>150</v>
      </c>
      <c r="B252" s="17" t="s">
        <v>151</v>
      </c>
      <c r="C252" s="17">
        <v>20</v>
      </c>
      <c r="D252" s="17" t="s">
        <v>113</v>
      </c>
      <c r="E252" s="17" t="s">
        <v>114</v>
      </c>
      <c r="F252" s="18">
        <v>0.1855</v>
      </c>
      <c r="G252" s="17" t="str">
        <f>IF(COUNTIFS('Question-Article-Match'!$A:$A,A252,'Question-Article-Match'!$C:$C,C252,'Question-Article-Match'!$F:$F,"direct match")&gt;0,"direct match",IF(COUNTIFS('Question-Article-Match'!$A:$A,A252,'Question-Article-Match'!$C:$C,C252,'Question-Article-Match'!$F:$F,"indirect match")&gt;0,"indirect match","no match"))</f>
        <v>no match</v>
      </c>
      <c r="H252" s="17">
        <f t="shared" si="17"/>
        <v>0</v>
      </c>
      <c r="I252" s="17">
        <f t="shared" si="18"/>
        <v>0</v>
      </c>
      <c r="J252" s="17" t="str">
        <f t="shared" si="19"/>
        <v>TN</v>
      </c>
    </row>
    <row r="253" spans="1:10">
      <c r="A253" s="17" t="s">
        <v>150</v>
      </c>
      <c r="B253" s="17" t="s">
        <v>151</v>
      </c>
      <c r="C253" s="17">
        <v>21</v>
      </c>
      <c r="D253" s="17" t="s">
        <v>46</v>
      </c>
      <c r="E253" s="17" t="s">
        <v>47</v>
      </c>
      <c r="F253" s="18">
        <v>9.8400000000000001E-2</v>
      </c>
      <c r="G253" s="17" t="str">
        <f>IF(COUNTIFS('Question-Article-Match'!$A:$A,A253,'Question-Article-Match'!$C:$C,C253,'Question-Article-Match'!$F:$F,"direct match")&gt;0,"direct match",IF(COUNTIFS('Question-Article-Match'!$A:$A,A253,'Question-Article-Match'!$C:$C,C253,'Question-Article-Match'!$F:$F,"indirect match")&gt;0,"indirect match","no match"))</f>
        <v>no match</v>
      </c>
      <c r="H253" s="17">
        <f t="shared" si="17"/>
        <v>0</v>
      </c>
      <c r="I253" s="17">
        <f t="shared" si="18"/>
        <v>0</v>
      </c>
      <c r="J253" s="17" t="str">
        <f t="shared" si="19"/>
        <v>TN</v>
      </c>
    </row>
    <row r="254" spans="1:10">
      <c r="A254" s="17" t="s">
        <v>8</v>
      </c>
      <c r="B254" s="17" t="s">
        <v>9</v>
      </c>
      <c r="C254" s="17">
        <v>1</v>
      </c>
      <c r="D254" s="17" t="s">
        <v>22</v>
      </c>
      <c r="E254" s="17" t="s">
        <v>23</v>
      </c>
      <c r="F254" s="18">
        <v>0.28870000000000001</v>
      </c>
      <c r="G254" s="17" t="str">
        <f>IF(COUNTIFS('Question-Article-Match'!$A:$A,A254,'Question-Article-Match'!$C:$C,C254,'Question-Article-Match'!$F:$F,"direct match")&gt;0,"direct match",IF(COUNTIFS('Question-Article-Match'!$A:$A,A254,'Question-Article-Match'!$C:$C,C254,'Question-Article-Match'!$F:$F,"indirect match")&gt;0,"indirect match","no match"))</f>
        <v>no match</v>
      </c>
      <c r="H254" s="17">
        <f t="shared" si="17"/>
        <v>0</v>
      </c>
      <c r="I254" s="17">
        <f t="shared" si="18"/>
        <v>0</v>
      </c>
      <c r="J254" s="17" t="str">
        <f t="shared" si="19"/>
        <v>TN</v>
      </c>
    </row>
    <row r="255" spans="1:10">
      <c r="A255" s="17" t="s">
        <v>8</v>
      </c>
      <c r="B255" s="17" t="s">
        <v>9</v>
      </c>
      <c r="C255" s="17">
        <v>2</v>
      </c>
      <c r="D255" s="17" t="s">
        <v>18</v>
      </c>
      <c r="E255" s="17" t="s">
        <v>19</v>
      </c>
      <c r="F255" s="18">
        <v>0.31219999999999998</v>
      </c>
      <c r="G255" s="17" t="str">
        <f>IF(COUNTIFS('Question-Article-Match'!$A:$A,A255,'Question-Article-Match'!$C:$C,C255,'Question-Article-Match'!$F:$F,"direct match")&gt;0,"direct match",IF(COUNTIFS('Question-Article-Match'!$A:$A,A255,'Question-Article-Match'!$C:$C,C255,'Question-Article-Match'!$F:$F,"indirect match")&gt;0,"indirect match","no match"))</f>
        <v>no match</v>
      </c>
      <c r="H255" s="17">
        <f t="shared" si="17"/>
        <v>0</v>
      </c>
      <c r="I255" s="17">
        <f t="shared" si="18"/>
        <v>0</v>
      </c>
      <c r="J255" s="17" t="str">
        <f t="shared" si="19"/>
        <v>TN</v>
      </c>
    </row>
    <row r="256" spans="1:10">
      <c r="A256" s="17" t="s">
        <v>8</v>
      </c>
      <c r="B256" s="17" t="s">
        <v>9</v>
      </c>
      <c r="C256" s="17">
        <v>3</v>
      </c>
      <c r="D256" s="17" t="s">
        <v>26</v>
      </c>
      <c r="E256" s="17" t="s">
        <v>27</v>
      </c>
      <c r="F256" s="18">
        <v>0.2762</v>
      </c>
      <c r="G256" s="17" t="str">
        <f>IF(COUNTIFS('Question-Article-Match'!$A:$A,A256,'Question-Article-Match'!$C:$C,C256,'Question-Article-Match'!$F:$F,"direct match")&gt;0,"direct match",IF(COUNTIFS('Question-Article-Match'!$A:$A,A256,'Question-Article-Match'!$C:$C,C256,'Question-Article-Match'!$F:$F,"indirect match")&gt;0,"indirect match","no match"))</f>
        <v>no match</v>
      </c>
      <c r="H256" s="17">
        <f t="shared" si="17"/>
        <v>0</v>
      </c>
      <c r="I256" s="17">
        <f t="shared" si="18"/>
        <v>0</v>
      </c>
      <c r="J256" s="17" t="str">
        <f t="shared" si="19"/>
        <v>TN</v>
      </c>
    </row>
    <row r="257" spans="1:10">
      <c r="A257" s="17" t="s">
        <v>8</v>
      </c>
      <c r="B257" s="17" t="s">
        <v>9</v>
      </c>
      <c r="C257" s="17">
        <v>4</v>
      </c>
      <c r="D257" s="17" t="s">
        <v>64</v>
      </c>
      <c r="E257" s="17" t="s">
        <v>65</v>
      </c>
      <c r="F257" s="18">
        <v>3.6799999999999999E-2</v>
      </c>
      <c r="G257" s="17" t="str">
        <f>IF(COUNTIFS('Question-Article-Match'!$A:$A,A257,'Question-Article-Match'!$C:$C,C257,'Question-Article-Match'!$F:$F,"direct match")&gt;0,"direct match",IF(COUNTIFS('Question-Article-Match'!$A:$A,A257,'Question-Article-Match'!$C:$C,C257,'Question-Article-Match'!$F:$F,"indirect match")&gt;0,"indirect match","no match"))</f>
        <v>no match</v>
      </c>
      <c r="H257" s="17">
        <f t="shared" si="17"/>
        <v>0</v>
      </c>
      <c r="I257" s="17">
        <f t="shared" si="18"/>
        <v>0</v>
      </c>
      <c r="J257" s="17" t="str">
        <f t="shared" si="19"/>
        <v>TN</v>
      </c>
    </row>
    <row r="258" spans="1:10">
      <c r="A258" s="17" t="s">
        <v>8</v>
      </c>
      <c r="B258" s="17" t="s">
        <v>9</v>
      </c>
      <c r="C258" s="17">
        <v>5</v>
      </c>
      <c r="D258" s="17" t="s">
        <v>36</v>
      </c>
      <c r="E258" s="17" t="s">
        <v>37</v>
      </c>
      <c r="F258" s="18">
        <v>0.25530000000000003</v>
      </c>
      <c r="G258" s="17" t="str">
        <f>IF(COUNTIFS('Question-Article-Match'!$A:$A,A258,'Question-Article-Match'!$C:$C,C258,'Question-Article-Match'!$F:$F,"direct match")&gt;0,"direct match",IF(COUNTIFS('Question-Article-Match'!$A:$A,A258,'Question-Article-Match'!$C:$C,C258,'Question-Article-Match'!$F:$F,"indirect match")&gt;0,"indirect match","no match"))</f>
        <v>no match</v>
      </c>
      <c r="H258" s="17">
        <f t="shared" ref="H258:H321" si="20">IF(G258="no match",0,1)</f>
        <v>0</v>
      </c>
      <c r="I258" s="17">
        <f t="shared" ref="I258:I321" si="21">IF(F258&gt;=$N$2,1,0)</f>
        <v>0</v>
      </c>
      <c r="J258" s="17" t="str">
        <f t="shared" ref="J258:J321" si="22">IF(AND(H258=1,I258=1),"TP",IF(AND(H258=0,I258=1),"FP",IF(H258=1,"FN","TN")))</f>
        <v>TN</v>
      </c>
    </row>
    <row r="259" spans="1:10">
      <c r="A259" s="17" t="s">
        <v>8</v>
      </c>
      <c r="B259" s="17" t="s">
        <v>9</v>
      </c>
      <c r="C259" s="17">
        <v>6</v>
      </c>
      <c r="D259" s="17" t="s">
        <v>28</v>
      </c>
      <c r="E259" s="17" t="s">
        <v>29</v>
      </c>
      <c r="F259" s="18">
        <v>0.27010000000000001</v>
      </c>
      <c r="G259" s="17" t="str">
        <f>IF(COUNTIFS('Question-Article-Match'!$A:$A,A259,'Question-Article-Match'!$C:$C,C259,'Question-Article-Match'!$F:$F,"direct match")&gt;0,"direct match",IF(COUNTIFS('Question-Article-Match'!$A:$A,A259,'Question-Article-Match'!$C:$C,C259,'Question-Article-Match'!$F:$F,"indirect match")&gt;0,"indirect match","no match"))</f>
        <v>no match</v>
      </c>
      <c r="H259" s="17">
        <f t="shared" si="20"/>
        <v>0</v>
      </c>
      <c r="I259" s="17">
        <f t="shared" si="21"/>
        <v>0</v>
      </c>
      <c r="J259" s="17" t="str">
        <f t="shared" si="22"/>
        <v>TN</v>
      </c>
    </row>
    <row r="260" spans="1:10">
      <c r="A260" s="17" t="s">
        <v>8</v>
      </c>
      <c r="B260" s="17" t="s">
        <v>9</v>
      </c>
      <c r="C260" s="17">
        <v>7</v>
      </c>
      <c r="D260" s="17" t="s">
        <v>75</v>
      </c>
      <c r="E260" s="17" t="s">
        <v>76</v>
      </c>
      <c r="F260" s="18">
        <v>0.1623</v>
      </c>
      <c r="G260" s="17" t="str">
        <f>IF(COUNTIFS('Question-Article-Match'!$A:$A,A260,'Question-Article-Match'!$C:$C,C260,'Question-Article-Match'!$F:$F,"direct match")&gt;0,"direct match",IF(COUNTIFS('Question-Article-Match'!$A:$A,A260,'Question-Article-Match'!$C:$C,C260,'Question-Article-Match'!$F:$F,"indirect match")&gt;0,"indirect match","no match"))</f>
        <v>no match</v>
      </c>
      <c r="H260" s="17">
        <f t="shared" si="20"/>
        <v>0</v>
      </c>
      <c r="I260" s="17">
        <f t="shared" si="21"/>
        <v>0</v>
      </c>
      <c r="J260" s="17" t="str">
        <f t="shared" si="22"/>
        <v>TN</v>
      </c>
    </row>
    <row r="261" spans="1:10">
      <c r="A261" s="17" t="s">
        <v>8</v>
      </c>
      <c r="B261" s="17" t="s">
        <v>9</v>
      </c>
      <c r="C261" s="17">
        <v>8</v>
      </c>
      <c r="D261" s="17" t="s">
        <v>40</v>
      </c>
      <c r="E261" s="17" t="s">
        <v>41</v>
      </c>
      <c r="F261" s="18">
        <v>0.21149999999999999</v>
      </c>
      <c r="G261" s="17" t="str">
        <f>IF(COUNTIFS('Question-Article-Match'!$A:$A,A261,'Question-Article-Match'!$C:$C,C261,'Question-Article-Match'!$F:$F,"direct match")&gt;0,"direct match",IF(COUNTIFS('Question-Article-Match'!$A:$A,A261,'Question-Article-Match'!$C:$C,C261,'Question-Article-Match'!$F:$F,"indirect match")&gt;0,"indirect match","no match"))</f>
        <v>no match</v>
      </c>
      <c r="H261" s="17">
        <f t="shared" si="20"/>
        <v>0</v>
      </c>
      <c r="I261" s="17">
        <f t="shared" si="21"/>
        <v>0</v>
      </c>
      <c r="J261" s="17" t="str">
        <f t="shared" si="22"/>
        <v>TN</v>
      </c>
    </row>
    <row r="262" spans="1:10">
      <c r="A262" s="17" t="s">
        <v>8</v>
      </c>
      <c r="B262" s="17" t="s">
        <v>9</v>
      </c>
      <c r="C262" s="17">
        <v>9</v>
      </c>
      <c r="D262" s="17" t="s">
        <v>10</v>
      </c>
      <c r="E262" s="17" t="s">
        <v>11</v>
      </c>
      <c r="F262" s="18">
        <v>0.61639999999999995</v>
      </c>
      <c r="G262" s="17" t="str">
        <f>IF(COUNTIFS('Question-Article-Match'!$A:$A,A262,'Question-Article-Match'!$C:$C,C262,'Question-Article-Match'!$F:$F,"direct match")&gt;0,"direct match",IF(COUNTIFS('Question-Article-Match'!$A:$A,A262,'Question-Article-Match'!$C:$C,C262,'Question-Article-Match'!$F:$F,"indirect match")&gt;0,"indirect match","no match"))</f>
        <v>direct match</v>
      </c>
      <c r="H262" s="17">
        <f t="shared" si="20"/>
        <v>1</v>
      </c>
      <c r="I262" s="17">
        <f t="shared" si="21"/>
        <v>1</v>
      </c>
      <c r="J262" s="17" t="str">
        <f t="shared" si="22"/>
        <v>TP</v>
      </c>
    </row>
    <row r="263" spans="1:10">
      <c r="A263" s="17" t="s">
        <v>8</v>
      </c>
      <c r="B263" s="17" t="s">
        <v>9</v>
      </c>
      <c r="C263" s="17">
        <v>10</v>
      </c>
      <c r="D263" s="17" t="s">
        <v>32</v>
      </c>
      <c r="E263" s="17" t="s">
        <v>33</v>
      </c>
      <c r="F263" s="18">
        <v>0.12590000000000001</v>
      </c>
      <c r="G263" s="17" t="str">
        <f>IF(COUNTIFS('Question-Article-Match'!$A:$A,A263,'Question-Article-Match'!$C:$C,C263,'Question-Article-Match'!$F:$F,"direct match")&gt;0,"direct match",IF(COUNTIFS('Question-Article-Match'!$A:$A,A263,'Question-Article-Match'!$C:$C,C263,'Question-Article-Match'!$F:$F,"indirect match")&gt;0,"indirect match","no match"))</f>
        <v>no match</v>
      </c>
      <c r="H263" s="17">
        <f t="shared" si="20"/>
        <v>0</v>
      </c>
      <c r="I263" s="17">
        <f t="shared" si="21"/>
        <v>0</v>
      </c>
      <c r="J263" s="17" t="str">
        <f t="shared" si="22"/>
        <v>TN</v>
      </c>
    </row>
    <row r="264" spans="1:10">
      <c r="A264" s="17" t="s">
        <v>8</v>
      </c>
      <c r="B264" s="17" t="s">
        <v>9</v>
      </c>
      <c r="C264" s="17">
        <v>11</v>
      </c>
      <c r="D264" s="17" t="s">
        <v>89</v>
      </c>
      <c r="E264" s="17" t="s">
        <v>90</v>
      </c>
      <c r="F264" s="18">
        <v>0.15160000000000001</v>
      </c>
      <c r="G264" s="17" t="str">
        <f>IF(COUNTIFS('Question-Article-Match'!$A:$A,A264,'Question-Article-Match'!$C:$C,C264,'Question-Article-Match'!$F:$F,"direct match")&gt;0,"direct match",IF(COUNTIFS('Question-Article-Match'!$A:$A,A264,'Question-Article-Match'!$C:$C,C264,'Question-Article-Match'!$F:$F,"indirect match")&gt;0,"indirect match","no match"))</f>
        <v>no match</v>
      </c>
      <c r="H264" s="17">
        <f t="shared" si="20"/>
        <v>0</v>
      </c>
      <c r="I264" s="17">
        <f t="shared" si="21"/>
        <v>0</v>
      </c>
      <c r="J264" s="17" t="str">
        <f t="shared" si="22"/>
        <v>TN</v>
      </c>
    </row>
    <row r="265" spans="1:10">
      <c r="A265" s="17" t="s">
        <v>8</v>
      </c>
      <c r="B265" s="17" t="s">
        <v>9</v>
      </c>
      <c r="C265" s="17">
        <v>12</v>
      </c>
      <c r="D265" s="17" t="s">
        <v>20</v>
      </c>
      <c r="E265" s="17" t="s">
        <v>21</v>
      </c>
      <c r="F265" s="18">
        <v>0.30380000000000001</v>
      </c>
      <c r="G265" s="17" t="str">
        <f>IF(COUNTIFS('Question-Article-Match'!$A:$A,A265,'Question-Article-Match'!$C:$C,C265,'Question-Article-Match'!$F:$F,"direct match")&gt;0,"direct match",IF(COUNTIFS('Question-Article-Match'!$A:$A,A265,'Question-Article-Match'!$C:$C,C265,'Question-Article-Match'!$F:$F,"indirect match")&gt;0,"indirect match","no match"))</f>
        <v>no match</v>
      </c>
      <c r="H265" s="17">
        <f t="shared" si="20"/>
        <v>0</v>
      </c>
      <c r="I265" s="17">
        <f t="shared" si="21"/>
        <v>0</v>
      </c>
      <c r="J265" s="17" t="str">
        <f t="shared" si="22"/>
        <v>TN</v>
      </c>
    </row>
    <row r="266" spans="1:10">
      <c r="A266" s="17" t="s">
        <v>8</v>
      </c>
      <c r="B266" s="17" t="s">
        <v>9</v>
      </c>
      <c r="C266" s="17">
        <v>13</v>
      </c>
      <c r="D266" s="17" t="s">
        <v>34</v>
      </c>
      <c r="E266" s="17" t="s">
        <v>35</v>
      </c>
      <c r="F266" s="18">
        <v>0.14660000000000001</v>
      </c>
      <c r="G266" s="17" t="str">
        <f>IF(COUNTIFS('Question-Article-Match'!$A:$A,A266,'Question-Article-Match'!$C:$C,C266,'Question-Article-Match'!$F:$F,"direct match")&gt;0,"direct match",IF(COUNTIFS('Question-Article-Match'!$A:$A,A266,'Question-Article-Match'!$C:$C,C266,'Question-Article-Match'!$F:$F,"indirect match")&gt;0,"indirect match","no match"))</f>
        <v>no match</v>
      </c>
      <c r="H266" s="17">
        <f t="shared" si="20"/>
        <v>0</v>
      </c>
      <c r="I266" s="17">
        <f t="shared" si="21"/>
        <v>0</v>
      </c>
      <c r="J266" s="17" t="str">
        <f t="shared" si="22"/>
        <v>TN</v>
      </c>
    </row>
    <row r="267" spans="1:10">
      <c r="A267" s="17" t="s">
        <v>8</v>
      </c>
      <c r="B267" s="17" t="s">
        <v>9</v>
      </c>
      <c r="C267" s="17">
        <v>14</v>
      </c>
      <c r="D267" s="17" t="s">
        <v>16</v>
      </c>
      <c r="E267" s="17" t="s">
        <v>17</v>
      </c>
      <c r="F267" s="18">
        <v>0.33960000000000001</v>
      </c>
      <c r="G267" s="17" t="str">
        <f>IF(COUNTIFS('Question-Article-Match'!$A:$A,A267,'Question-Article-Match'!$C:$C,C267,'Question-Article-Match'!$F:$F,"direct match")&gt;0,"direct match",IF(COUNTIFS('Question-Article-Match'!$A:$A,A267,'Question-Article-Match'!$C:$C,C267,'Question-Article-Match'!$F:$F,"indirect match")&gt;0,"indirect match","no match"))</f>
        <v>no match</v>
      </c>
      <c r="H267" s="17">
        <f t="shared" si="20"/>
        <v>0</v>
      </c>
      <c r="I267" s="17">
        <f t="shared" si="21"/>
        <v>0</v>
      </c>
      <c r="J267" s="17" t="str">
        <f t="shared" si="22"/>
        <v>TN</v>
      </c>
    </row>
    <row r="268" spans="1:10">
      <c r="A268" s="17" t="s">
        <v>8</v>
      </c>
      <c r="B268" s="17" t="s">
        <v>9</v>
      </c>
      <c r="C268" s="17">
        <v>15</v>
      </c>
      <c r="D268" s="17" t="s">
        <v>42</v>
      </c>
      <c r="E268" s="17" t="s">
        <v>43</v>
      </c>
      <c r="F268" s="18">
        <v>0.22309999999999999</v>
      </c>
      <c r="G268" s="17" t="str">
        <f>IF(COUNTIFS('Question-Article-Match'!$A:$A,A268,'Question-Article-Match'!$C:$C,C268,'Question-Article-Match'!$F:$F,"direct match")&gt;0,"direct match",IF(COUNTIFS('Question-Article-Match'!$A:$A,A268,'Question-Article-Match'!$C:$C,C268,'Question-Article-Match'!$F:$F,"indirect match")&gt;0,"indirect match","no match"))</f>
        <v>no match</v>
      </c>
      <c r="H268" s="17">
        <f t="shared" si="20"/>
        <v>0</v>
      </c>
      <c r="I268" s="17">
        <f t="shared" si="21"/>
        <v>0</v>
      </c>
      <c r="J268" s="17" t="str">
        <f t="shared" si="22"/>
        <v>TN</v>
      </c>
    </row>
    <row r="269" spans="1:10">
      <c r="A269" s="17" t="s">
        <v>8</v>
      </c>
      <c r="B269" s="17" t="s">
        <v>9</v>
      </c>
      <c r="C269" s="17">
        <v>16</v>
      </c>
      <c r="D269" s="17" t="s">
        <v>12</v>
      </c>
      <c r="E269" s="17" t="s">
        <v>13</v>
      </c>
      <c r="F269" s="18">
        <v>0.39879999999999999</v>
      </c>
      <c r="G269" s="17" t="str">
        <f>IF(COUNTIFS('Question-Article-Match'!$A:$A,A269,'Question-Article-Match'!$C:$C,C269,'Question-Article-Match'!$F:$F,"direct match")&gt;0,"direct match",IF(COUNTIFS('Question-Article-Match'!$A:$A,A269,'Question-Article-Match'!$C:$C,C269,'Question-Article-Match'!$F:$F,"indirect match")&gt;0,"indirect match","no match"))</f>
        <v>no match</v>
      </c>
      <c r="H269" s="17">
        <f t="shared" si="20"/>
        <v>0</v>
      </c>
      <c r="I269" s="17">
        <f t="shared" si="21"/>
        <v>1</v>
      </c>
      <c r="J269" s="17" t="str">
        <f t="shared" si="22"/>
        <v>FP</v>
      </c>
    </row>
    <row r="270" spans="1:10">
      <c r="A270" s="17" t="s">
        <v>8</v>
      </c>
      <c r="B270" s="17" t="s">
        <v>9</v>
      </c>
      <c r="C270" s="17">
        <v>17</v>
      </c>
      <c r="D270" s="17" t="s">
        <v>108</v>
      </c>
      <c r="E270" s="17" t="s">
        <v>109</v>
      </c>
      <c r="F270" s="18">
        <v>8.43E-2</v>
      </c>
      <c r="G270" s="17" t="str">
        <f>IF(COUNTIFS('Question-Article-Match'!$A:$A,A270,'Question-Article-Match'!$C:$C,C270,'Question-Article-Match'!$F:$F,"direct match")&gt;0,"direct match",IF(COUNTIFS('Question-Article-Match'!$A:$A,A270,'Question-Article-Match'!$C:$C,C270,'Question-Article-Match'!$F:$F,"indirect match")&gt;0,"indirect match","no match"))</f>
        <v>no match</v>
      </c>
      <c r="H270" s="17">
        <f t="shared" si="20"/>
        <v>0</v>
      </c>
      <c r="I270" s="17">
        <f t="shared" si="21"/>
        <v>0</v>
      </c>
      <c r="J270" s="17" t="str">
        <f t="shared" si="22"/>
        <v>TN</v>
      </c>
    </row>
    <row r="271" spans="1:10">
      <c r="A271" s="17" t="s">
        <v>8</v>
      </c>
      <c r="B271" s="17" t="s">
        <v>9</v>
      </c>
      <c r="C271" s="17">
        <v>18</v>
      </c>
      <c r="D271" s="17" t="s">
        <v>24</v>
      </c>
      <c r="E271" s="17" t="s">
        <v>25</v>
      </c>
      <c r="F271" s="18">
        <v>0.28870000000000001</v>
      </c>
      <c r="G271" s="17" t="str">
        <f>IF(COUNTIFS('Question-Article-Match'!$A:$A,A271,'Question-Article-Match'!$C:$C,C271,'Question-Article-Match'!$F:$F,"direct match")&gt;0,"direct match",IF(COUNTIFS('Question-Article-Match'!$A:$A,A271,'Question-Article-Match'!$C:$C,C271,'Question-Article-Match'!$F:$F,"indirect match")&gt;0,"indirect match","no match"))</f>
        <v>no match</v>
      </c>
      <c r="H271" s="17">
        <f t="shared" si="20"/>
        <v>0</v>
      </c>
      <c r="I271" s="17">
        <f t="shared" si="21"/>
        <v>0</v>
      </c>
      <c r="J271" s="17" t="str">
        <f t="shared" si="22"/>
        <v>TN</v>
      </c>
    </row>
    <row r="272" spans="1:10">
      <c r="A272" s="17" t="s">
        <v>8</v>
      </c>
      <c r="B272" s="17" t="s">
        <v>9</v>
      </c>
      <c r="C272" s="17">
        <v>19</v>
      </c>
      <c r="D272" s="17" t="s">
        <v>14</v>
      </c>
      <c r="E272" s="17" t="s">
        <v>15</v>
      </c>
      <c r="F272" s="18">
        <v>0.36780000000000002</v>
      </c>
      <c r="G272" s="17" t="str">
        <f>IF(COUNTIFS('Question-Article-Match'!$A:$A,A272,'Question-Article-Match'!$C:$C,C272,'Question-Article-Match'!$F:$F,"direct match")&gt;0,"direct match",IF(COUNTIFS('Question-Article-Match'!$A:$A,A272,'Question-Article-Match'!$C:$C,C272,'Question-Article-Match'!$F:$F,"indirect match")&gt;0,"indirect match","no match"))</f>
        <v>no match</v>
      </c>
      <c r="H272" s="17">
        <f t="shared" si="20"/>
        <v>0</v>
      </c>
      <c r="I272" s="17">
        <f t="shared" si="21"/>
        <v>1</v>
      </c>
      <c r="J272" s="17" t="str">
        <f t="shared" si="22"/>
        <v>FP</v>
      </c>
    </row>
    <row r="273" spans="1:10">
      <c r="A273" s="17" t="s">
        <v>8</v>
      </c>
      <c r="B273" s="17" t="s">
        <v>9</v>
      </c>
      <c r="C273" s="17">
        <v>20</v>
      </c>
      <c r="D273" s="17" t="s">
        <v>113</v>
      </c>
      <c r="E273" s="17" t="s">
        <v>114</v>
      </c>
      <c r="F273" s="18">
        <v>0.112</v>
      </c>
      <c r="G273" s="17" t="str">
        <f>IF(COUNTIFS('Question-Article-Match'!$A:$A,A273,'Question-Article-Match'!$C:$C,C273,'Question-Article-Match'!$F:$F,"direct match")&gt;0,"direct match",IF(COUNTIFS('Question-Article-Match'!$A:$A,A273,'Question-Article-Match'!$C:$C,C273,'Question-Article-Match'!$F:$F,"indirect match")&gt;0,"indirect match","no match"))</f>
        <v>no match</v>
      </c>
      <c r="H273" s="17">
        <f t="shared" si="20"/>
        <v>0</v>
      </c>
      <c r="I273" s="17">
        <f t="shared" si="21"/>
        <v>0</v>
      </c>
      <c r="J273" s="17" t="str">
        <f t="shared" si="22"/>
        <v>TN</v>
      </c>
    </row>
    <row r="274" spans="1:10">
      <c r="A274" s="17" t="s">
        <v>8</v>
      </c>
      <c r="B274" s="17" t="s">
        <v>9</v>
      </c>
      <c r="C274" s="17">
        <v>21</v>
      </c>
      <c r="D274" s="17" t="s">
        <v>46</v>
      </c>
      <c r="E274" s="17" t="s">
        <v>47</v>
      </c>
      <c r="F274" s="18">
        <v>7.9899999999999999E-2</v>
      </c>
      <c r="G274" s="17" t="str">
        <f>IF(COUNTIFS('Question-Article-Match'!$A:$A,A274,'Question-Article-Match'!$C:$C,C274,'Question-Article-Match'!$F:$F,"direct match")&gt;0,"direct match",IF(COUNTIFS('Question-Article-Match'!$A:$A,A274,'Question-Article-Match'!$C:$C,C274,'Question-Article-Match'!$F:$F,"indirect match")&gt;0,"indirect match","no match"))</f>
        <v>no match</v>
      </c>
      <c r="H274" s="17">
        <f t="shared" si="20"/>
        <v>0</v>
      </c>
      <c r="I274" s="17">
        <f t="shared" si="21"/>
        <v>0</v>
      </c>
      <c r="J274" s="17" t="str">
        <f t="shared" si="22"/>
        <v>TN</v>
      </c>
    </row>
    <row r="275" spans="1:10">
      <c r="A275" s="17" t="s">
        <v>30</v>
      </c>
      <c r="B275" s="17" t="s">
        <v>31</v>
      </c>
      <c r="C275" s="17">
        <v>1</v>
      </c>
      <c r="D275" s="17" t="s">
        <v>22</v>
      </c>
      <c r="E275" s="17" t="s">
        <v>23</v>
      </c>
      <c r="F275" s="18">
        <v>0.21299999999999999</v>
      </c>
      <c r="G275" s="17" t="str">
        <f>IF(COUNTIFS('Question-Article-Match'!$A:$A,A275,'Question-Article-Match'!$C:$C,C275,'Question-Article-Match'!$F:$F,"direct match")&gt;0,"direct match",IF(COUNTIFS('Question-Article-Match'!$A:$A,A275,'Question-Article-Match'!$C:$C,C275,'Question-Article-Match'!$F:$F,"indirect match")&gt;0,"indirect match","no match"))</f>
        <v>no match</v>
      </c>
      <c r="H275" s="17">
        <f t="shared" si="20"/>
        <v>0</v>
      </c>
      <c r="I275" s="17">
        <f t="shared" si="21"/>
        <v>0</v>
      </c>
      <c r="J275" s="17" t="str">
        <f t="shared" si="22"/>
        <v>TN</v>
      </c>
    </row>
    <row r="276" spans="1:10">
      <c r="A276" s="17" t="s">
        <v>30</v>
      </c>
      <c r="B276" s="17" t="s">
        <v>31</v>
      </c>
      <c r="C276" s="17">
        <v>2</v>
      </c>
      <c r="D276" s="17" t="s">
        <v>18</v>
      </c>
      <c r="E276" s="17" t="s">
        <v>19</v>
      </c>
      <c r="F276" s="18">
        <v>0.29110000000000003</v>
      </c>
      <c r="G276" s="17" t="str">
        <f>IF(COUNTIFS('Question-Article-Match'!$A:$A,A276,'Question-Article-Match'!$C:$C,C276,'Question-Article-Match'!$F:$F,"direct match")&gt;0,"direct match",IF(COUNTIFS('Question-Article-Match'!$A:$A,A276,'Question-Article-Match'!$C:$C,C276,'Question-Article-Match'!$F:$F,"indirect match")&gt;0,"indirect match","no match"))</f>
        <v>no match</v>
      </c>
      <c r="H276" s="17">
        <f t="shared" si="20"/>
        <v>0</v>
      </c>
      <c r="I276" s="17">
        <f t="shared" si="21"/>
        <v>0</v>
      </c>
      <c r="J276" s="17" t="str">
        <f t="shared" si="22"/>
        <v>TN</v>
      </c>
    </row>
    <row r="277" spans="1:10">
      <c r="A277" s="17" t="s">
        <v>30</v>
      </c>
      <c r="B277" s="17" t="s">
        <v>31</v>
      </c>
      <c r="C277" s="17">
        <v>3</v>
      </c>
      <c r="D277" s="17" t="s">
        <v>26</v>
      </c>
      <c r="E277" s="17" t="s">
        <v>27</v>
      </c>
      <c r="F277" s="18">
        <v>0.36159999999999998</v>
      </c>
      <c r="G277" s="17" t="str">
        <f>IF(COUNTIFS('Question-Article-Match'!$A:$A,A277,'Question-Article-Match'!$C:$C,C277,'Question-Article-Match'!$F:$F,"direct match")&gt;0,"direct match",IF(COUNTIFS('Question-Article-Match'!$A:$A,A277,'Question-Article-Match'!$C:$C,C277,'Question-Article-Match'!$F:$F,"indirect match")&gt;0,"indirect match","no match"))</f>
        <v>no match</v>
      </c>
      <c r="H277" s="17">
        <f t="shared" si="20"/>
        <v>0</v>
      </c>
      <c r="I277" s="17">
        <f t="shared" si="21"/>
        <v>1</v>
      </c>
      <c r="J277" s="17" t="str">
        <f t="shared" si="22"/>
        <v>FP</v>
      </c>
    </row>
    <row r="278" spans="1:10">
      <c r="A278" s="17" t="s">
        <v>30</v>
      </c>
      <c r="B278" s="17" t="s">
        <v>31</v>
      </c>
      <c r="C278" s="17">
        <v>4</v>
      </c>
      <c r="D278" s="17" t="s">
        <v>64</v>
      </c>
      <c r="E278" s="17" t="s">
        <v>65</v>
      </c>
      <c r="F278" s="18">
        <v>7.0499999999999993E-2</v>
      </c>
      <c r="G278" s="17" t="str">
        <f>IF(COUNTIFS('Question-Article-Match'!$A:$A,A278,'Question-Article-Match'!$C:$C,C278,'Question-Article-Match'!$F:$F,"direct match")&gt;0,"direct match",IF(COUNTIFS('Question-Article-Match'!$A:$A,A278,'Question-Article-Match'!$C:$C,C278,'Question-Article-Match'!$F:$F,"indirect match")&gt;0,"indirect match","no match"))</f>
        <v>no match</v>
      </c>
      <c r="H278" s="17">
        <f t="shared" si="20"/>
        <v>0</v>
      </c>
      <c r="I278" s="17">
        <f t="shared" si="21"/>
        <v>0</v>
      </c>
      <c r="J278" s="17" t="str">
        <f t="shared" si="22"/>
        <v>TN</v>
      </c>
    </row>
    <row r="279" spans="1:10">
      <c r="A279" s="17" t="s">
        <v>30</v>
      </c>
      <c r="B279" s="17" t="s">
        <v>31</v>
      </c>
      <c r="C279" s="17">
        <v>5</v>
      </c>
      <c r="D279" s="17" t="s">
        <v>36</v>
      </c>
      <c r="E279" s="17" t="s">
        <v>37</v>
      </c>
      <c r="F279" s="18">
        <v>0.25390000000000001</v>
      </c>
      <c r="G279" s="17" t="str">
        <f>IF(COUNTIFS('Question-Article-Match'!$A:$A,A279,'Question-Article-Match'!$C:$C,C279,'Question-Article-Match'!$F:$F,"direct match")&gt;0,"direct match",IF(COUNTIFS('Question-Article-Match'!$A:$A,A279,'Question-Article-Match'!$C:$C,C279,'Question-Article-Match'!$F:$F,"indirect match")&gt;0,"indirect match","no match"))</f>
        <v>no match</v>
      </c>
      <c r="H279" s="17">
        <f t="shared" si="20"/>
        <v>0</v>
      </c>
      <c r="I279" s="17">
        <f t="shared" si="21"/>
        <v>0</v>
      </c>
      <c r="J279" s="17" t="str">
        <f t="shared" si="22"/>
        <v>TN</v>
      </c>
    </row>
    <row r="280" spans="1:10">
      <c r="A280" s="17" t="s">
        <v>30</v>
      </c>
      <c r="B280" s="17" t="s">
        <v>31</v>
      </c>
      <c r="C280" s="17">
        <v>6</v>
      </c>
      <c r="D280" s="17" t="s">
        <v>28</v>
      </c>
      <c r="E280" s="17" t="s">
        <v>29</v>
      </c>
      <c r="F280" s="18">
        <v>0.21110000000000001</v>
      </c>
      <c r="G280" s="17" t="str">
        <f>IF(COUNTIFS('Question-Article-Match'!$A:$A,A280,'Question-Article-Match'!$C:$C,C280,'Question-Article-Match'!$F:$F,"direct match")&gt;0,"direct match",IF(COUNTIFS('Question-Article-Match'!$A:$A,A280,'Question-Article-Match'!$C:$C,C280,'Question-Article-Match'!$F:$F,"indirect match")&gt;0,"indirect match","no match"))</f>
        <v>no match</v>
      </c>
      <c r="H280" s="17">
        <f t="shared" si="20"/>
        <v>0</v>
      </c>
      <c r="I280" s="17">
        <f t="shared" si="21"/>
        <v>0</v>
      </c>
      <c r="J280" s="17" t="str">
        <f t="shared" si="22"/>
        <v>TN</v>
      </c>
    </row>
    <row r="281" spans="1:10">
      <c r="A281" s="17" t="s">
        <v>30</v>
      </c>
      <c r="B281" s="17" t="s">
        <v>31</v>
      </c>
      <c r="C281" s="17">
        <v>7</v>
      </c>
      <c r="D281" s="17" t="s">
        <v>75</v>
      </c>
      <c r="E281" s="17" t="s">
        <v>76</v>
      </c>
      <c r="F281" s="18">
        <v>0.2215</v>
      </c>
      <c r="G281" s="17" t="str">
        <f>IF(COUNTIFS('Question-Article-Match'!$A:$A,A281,'Question-Article-Match'!$C:$C,C281,'Question-Article-Match'!$F:$F,"direct match")&gt;0,"direct match",IF(COUNTIFS('Question-Article-Match'!$A:$A,A281,'Question-Article-Match'!$C:$C,C281,'Question-Article-Match'!$F:$F,"indirect match")&gt;0,"indirect match","no match"))</f>
        <v>no match</v>
      </c>
      <c r="H281" s="17">
        <f t="shared" si="20"/>
        <v>0</v>
      </c>
      <c r="I281" s="17">
        <f t="shared" si="21"/>
        <v>0</v>
      </c>
      <c r="J281" s="17" t="str">
        <f t="shared" si="22"/>
        <v>TN</v>
      </c>
    </row>
    <row r="282" spans="1:10">
      <c r="A282" s="17" t="s">
        <v>30</v>
      </c>
      <c r="B282" s="17" t="s">
        <v>31</v>
      </c>
      <c r="C282" s="17">
        <v>8</v>
      </c>
      <c r="D282" s="17" t="s">
        <v>40</v>
      </c>
      <c r="E282" s="17" t="s">
        <v>41</v>
      </c>
      <c r="F282" s="18">
        <v>0.23400000000000001</v>
      </c>
      <c r="G282" s="17" t="str">
        <f>IF(COUNTIFS('Question-Article-Match'!$A:$A,A282,'Question-Article-Match'!$C:$C,C282,'Question-Article-Match'!$F:$F,"direct match")&gt;0,"direct match",IF(COUNTIFS('Question-Article-Match'!$A:$A,A282,'Question-Article-Match'!$C:$C,C282,'Question-Article-Match'!$F:$F,"indirect match")&gt;0,"indirect match","no match"))</f>
        <v>no match</v>
      </c>
      <c r="H282" s="17">
        <f t="shared" si="20"/>
        <v>0</v>
      </c>
      <c r="I282" s="17">
        <f t="shared" si="21"/>
        <v>0</v>
      </c>
      <c r="J282" s="17" t="str">
        <f t="shared" si="22"/>
        <v>TN</v>
      </c>
    </row>
    <row r="283" spans="1:10">
      <c r="A283" s="17" t="s">
        <v>30</v>
      </c>
      <c r="B283" s="17" t="s">
        <v>31</v>
      </c>
      <c r="C283" s="17">
        <v>9</v>
      </c>
      <c r="D283" s="17" t="s">
        <v>10</v>
      </c>
      <c r="E283" s="17" t="s">
        <v>11</v>
      </c>
      <c r="F283" s="18">
        <v>0.1668</v>
      </c>
      <c r="G283" s="17" t="str">
        <f>IF(COUNTIFS('Question-Article-Match'!$A:$A,A283,'Question-Article-Match'!$C:$C,C283,'Question-Article-Match'!$F:$F,"direct match")&gt;0,"direct match",IF(COUNTIFS('Question-Article-Match'!$A:$A,A283,'Question-Article-Match'!$C:$C,C283,'Question-Article-Match'!$F:$F,"indirect match")&gt;0,"indirect match","no match"))</f>
        <v>no match</v>
      </c>
      <c r="H283" s="17">
        <f t="shared" si="20"/>
        <v>0</v>
      </c>
      <c r="I283" s="17">
        <f t="shared" si="21"/>
        <v>0</v>
      </c>
      <c r="J283" s="17" t="str">
        <f t="shared" si="22"/>
        <v>TN</v>
      </c>
    </row>
    <row r="284" spans="1:10">
      <c r="A284" s="17" t="s">
        <v>30</v>
      </c>
      <c r="B284" s="17" t="s">
        <v>31</v>
      </c>
      <c r="C284" s="17">
        <v>10</v>
      </c>
      <c r="D284" s="17" t="s">
        <v>32</v>
      </c>
      <c r="E284" s="17" t="s">
        <v>33</v>
      </c>
      <c r="F284" s="18">
        <v>0.35249999999999998</v>
      </c>
      <c r="G284" s="17" t="str">
        <f>IF(COUNTIFS('Question-Article-Match'!$A:$A,A284,'Question-Article-Match'!$C:$C,C284,'Question-Article-Match'!$F:$F,"direct match")&gt;0,"direct match",IF(COUNTIFS('Question-Article-Match'!$A:$A,A284,'Question-Article-Match'!$C:$C,C284,'Question-Article-Match'!$F:$F,"indirect match")&gt;0,"indirect match","no match"))</f>
        <v>no match</v>
      </c>
      <c r="H284" s="17">
        <f t="shared" si="20"/>
        <v>0</v>
      </c>
      <c r="I284" s="17">
        <f t="shared" si="21"/>
        <v>1</v>
      </c>
      <c r="J284" s="17" t="str">
        <f t="shared" si="22"/>
        <v>FP</v>
      </c>
    </row>
    <row r="285" spans="1:10">
      <c r="A285" s="17" t="s">
        <v>30</v>
      </c>
      <c r="B285" s="17" t="s">
        <v>31</v>
      </c>
      <c r="C285" s="17">
        <v>11</v>
      </c>
      <c r="D285" s="17" t="s">
        <v>89</v>
      </c>
      <c r="E285" s="17" t="s">
        <v>90</v>
      </c>
      <c r="F285" s="18">
        <v>0.17499999999999999</v>
      </c>
      <c r="G285" s="17" t="str">
        <f>IF(COUNTIFS('Question-Article-Match'!$A:$A,A285,'Question-Article-Match'!$C:$C,C285,'Question-Article-Match'!$F:$F,"direct match")&gt;0,"direct match",IF(COUNTIFS('Question-Article-Match'!$A:$A,A285,'Question-Article-Match'!$C:$C,C285,'Question-Article-Match'!$F:$F,"indirect match")&gt;0,"indirect match","no match"))</f>
        <v>no match</v>
      </c>
      <c r="H285" s="17">
        <f t="shared" si="20"/>
        <v>0</v>
      </c>
      <c r="I285" s="17">
        <f t="shared" si="21"/>
        <v>0</v>
      </c>
      <c r="J285" s="17" t="str">
        <f t="shared" si="22"/>
        <v>TN</v>
      </c>
    </row>
    <row r="286" spans="1:10">
      <c r="A286" s="17" t="s">
        <v>30</v>
      </c>
      <c r="B286" s="17" t="s">
        <v>31</v>
      </c>
      <c r="C286" s="17">
        <v>12</v>
      </c>
      <c r="D286" s="17" t="s">
        <v>20</v>
      </c>
      <c r="E286" s="17" t="s">
        <v>21</v>
      </c>
      <c r="F286" s="18">
        <v>0.29459999999999997</v>
      </c>
      <c r="G286" s="17" t="str">
        <f>IF(COUNTIFS('Question-Article-Match'!$A:$A,A286,'Question-Article-Match'!$C:$C,C286,'Question-Article-Match'!$F:$F,"direct match")&gt;0,"direct match",IF(COUNTIFS('Question-Article-Match'!$A:$A,A286,'Question-Article-Match'!$C:$C,C286,'Question-Article-Match'!$F:$F,"indirect match")&gt;0,"indirect match","no match"))</f>
        <v>no match</v>
      </c>
      <c r="H286" s="17">
        <f t="shared" si="20"/>
        <v>0</v>
      </c>
      <c r="I286" s="17">
        <f t="shared" si="21"/>
        <v>0</v>
      </c>
      <c r="J286" s="17" t="str">
        <f t="shared" si="22"/>
        <v>TN</v>
      </c>
    </row>
    <row r="287" spans="1:10">
      <c r="A287" s="17" t="s">
        <v>30</v>
      </c>
      <c r="B287" s="17" t="s">
        <v>31</v>
      </c>
      <c r="C287" s="17">
        <v>13</v>
      </c>
      <c r="D287" s="17" t="s">
        <v>34</v>
      </c>
      <c r="E287" s="17" t="s">
        <v>35</v>
      </c>
      <c r="F287" s="18">
        <v>0.29709999999999998</v>
      </c>
      <c r="G287" s="17" t="str">
        <f>IF(COUNTIFS('Question-Article-Match'!$A:$A,A287,'Question-Article-Match'!$C:$C,C287,'Question-Article-Match'!$F:$F,"direct match")&gt;0,"direct match",IF(COUNTIFS('Question-Article-Match'!$A:$A,A287,'Question-Article-Match'!$C:$C,C287,'Question-Article-Match'!$F:$F,"indirect match")&gt;0,"indirect match","no match"))</f>
        <v>no match</v>
      </c>
      <c r="H287" s="17">
        <f t="shared" si="20"/>
        <v>0</v>
      </c>
      <c r="I287" s="17">
        <f t="shared" si="21"/>
        <v>0</v>
      </c>
      <c r="J287" s="17" t="str">
        <f t="shared" si="22"/>
        <v>TN</v>
      </c>
    </row>
    <row r="288" spans="1:10">
      <c r="A288" s="17" t="s">
        <v>30</v>
      </c>
      <c r="B288" s="17" t="s">
        <v>31</v>
      </c>
      <c r="C288" s="17">
        <v>14</v>
      </c>
      <c r="D288" s="17" t="s">
        <v>16</v>
      </c>
      <c r="E288" s="17" t="s">
        <v>17</v>
      </c>
      <c r="F288" s="18">
        <v>0.31519999999999998</v>
      </c>
      <c r="G288" s="17" t="str">
        <f>IF(COUNTIFS('Question-Article-Match'!$A:$A,A288,'Question-Article-Match'!$C:$C,C288,'Question-Article-Match'!$F:$F,"direct match")&gt;0,"direct match",IF(COUNTIFS('Question-Article-Match'!$A:$A,A288,'Question-Article-Match'!$C:$C,C288,'Question-Article-Match'!$F:$F,"indirect match")&gt;0,"indirect match","no match"))</f>
        <v>no match</v>
      </c>
      <c r="H288" s="17">
        <f t="shared" si="20"/>
        <v>0</v>
      </c>
      <c r="I288" s="17">
        <f t="shared" si="21"/>
        <v>0</v>
      </c>
      <c r="J288" s="17" t="str">
        <f t="shared" si="22"/>
        <v>TN</v>
      </c>
    </row>
    <row r="289" spans="1:10">
      <c r="A289" s="17" t="s">
        <v>30</v>
      </c>
      <c r="B289" s="17" t="s">
        <v>31</v>
      </c>
      <c r="C289" s="17">
        <v>15</v>
      </c>
      <c r="D289" s="17" t="s">
        <v>42</v>
      </c>
      <c r="E289" s="17" t="s">
        <v>43</v>
      </c>
      <c r="F289" s="18">
        <v>0.2457</v>
      </c>
      <c r="G289" s="17" t="str">
        <f>IF(COUNTIFS('Question-Article-Match'!$A:$A,A289,'Question-Article-Match'!$C:$C,C289,'Question-Article-Match'!$F:$F,"direct match")&gt;0,"direct match",IF(COUNTIFS('Question-Article-Match'!$A:$A,A289,'Question-Article-Match'!$C:$C,C289,'Question-Article-Match'!$F:$F,"indirect match")&gt;0,"indirect match","no match"))</f>
        <v>no match</v>
      </c>
      <c r="H289" s="17">
        <f t="shared" si="20"/>
        <v>0</v>
      </c>
      <c r="I289" s="17">
        <f t="shared" si="21"/>
        <v>0</v>
      </c>
      <c r="J289" s="17" t="str">
        <f t="shared" si="22"/>
        <v>TN</v>
      </c>
    </row>
    <row r="290" spans="1:10">
      <c r="A290" s="17" t="s">
        <v>30</v>
      </c>
      <c r="B290" s="17" t="s">
        <v>31</v>
      </c>
      <c r="C290" s="17">
        <v>16</v>
      </c>
      <c r="D290" s="17" t="s">
        <v>12</v>
      </c>
      <c r="E290" s="17" t="s">
        <v>13</v>
      </c>
      <c r="F290" s="18">
        <v>0.74060000000000004</v>
      </c>
      <c r="G290" s="17" t="str">
        <f>IF(COUNTIFS('Question-Article-Match'!$A:$A,A290,'Question-Article-Match'!$C:$C,C290,'Question-Article-Match'!$F:$F,"direct match")&gt;0,"direct match",IF(COUNTIFS('Question-Article-Match'!$A:$A,A290,'Question-Article-Match'!$C:$C,C290,'Question-Article-Match'!$F:$F,"indirect match")&gt;0,"indirect match","no match"))</f>
        <v>direct match</v>
      </c>
      <c r="H290" s="17">
        <f t="shared" si="20"/>
        <v>1</v>
      </c>
      <c r="I290" s="17">
        <f t="shared" si="21"/>
        <v>1</v>
      </c>
      <c r="J290" s="17" t="str">
        <f t="shared" si="22"/>
        <v>TP</v>
      </c>
    </row>
    <row r="291" spans="1:10">
      <c r="A291" s="17" t="s">
        <v>30</v>
      </c>
      <c r="B291" s="17" t="s">
        <v>31</v>
      </c>
      <c r="C291" s="17">
        <v>17</v>
      </c>
      <c r="D291" s="17" t="s">
        <v>108</v>
      </c>
      <c r="E291" s="17" t="s">
        <v>109</v>
      </c>
      <c r="F291" s="18">
        <v>2.5399999999999999E-2</v>
      </c>
      <c r="G291" s="17" t="str">
        <f>IF(COUNTIFS('Question-Article-Match'!$A:$A,A291,'Question-Article-Match'!$C:$C,C291,'Question-Article-Match'!$F:$F,"direct match")&gt;0,"direct match",IF(COUNTIFS('Question-Article-Match'!$A:$A,A291,'Question-Article-Match'!$C:$C,C291,'Question-Article-Match'!$F:$F,"indirect match")&gt;0,"indirect match","no match"))</f>
        <v>no match</v>
      </c>
      <c r="H291" s="17">
        <f t="shared" si="20"/>
        <v>0</v>
      </c>
      <c r="I291" s="17">
        <f t="shared" si="21"/>
        <v>0</v>
      </c>
      <c r="J291" s="17" t="str">
        <f t="shared" si="22"/>
        <v>TN</v>
      </c>
    </row>
    <row r="292" spans="1:10">
      <c r="A292" s="17" t="s">
        <v>30</v>
      </c>
      <c r="B292" s="17" t="s">
        <v>31</v>
      </c>
      <c r="C292" s="17">
        <v>18</v>
      </c>
      <c r="D292" s="17" t="s">
        <v>24</v>
      </c>
      <c r="E292" s="17" t="s">
        <v>25</v>
      </c>
      <c r="F292" s="18">
        <v>0.27300000000000002</v>
      </c>
      <c r="G292" s="17" t="str">
        <f>IF(COUNTIFS('Question-Article-Match'!$A:$A,A292,'Question-Article-Match'!$C:$C,C292,'Question-Article-Match'!$F:$F,"direct match")&gt;0,"direct match",IF(COUNTIFS('Question-Article-Match'!$A:$A,A292,'Question-Article-Match'!$C:$C,C292,'Question-Article-Match'!$F:$F,"indirect match")&gt;0,"indirect match","no match"))</f>
        <v>no match</v>
      </c>
      <c r="H292" s="17">
        <f t="shared" si="20"/>
        <v>0</v>
      </c>
      <c r="I292" s="17">
        <f t="shared" si="21"/>
        <v>0</v>
      </c>
      <c r="J292" s="17" t="str">
        <f t="shared" si="22"/>
        <v>TN</v>
      </c>
    </row>
    <row r="293" spans="1:10">
      <c r="A293" s="17" t="s">
        <v>30</v>
      </c>
      <c r="B293" s="17" t="s">
        <v>31</v>
      </c>
      <c r="C293" s="17">
        <v>19</v>
      </c>
      <c r="D293" s="17" t="s">
        <v>14</v>
      </c>
      <c r="E293" s="17" t="s">
        <v>15</v>
      </c>
      <c r="F293" s="18">
        <v>0.42570000000000002</v>
      </c>
      <c r="G293" s="17" t="str">
        <f>IF(COUNTIFS('Question-Article-Match'!$A:$A,A293,'Question-Article-Match'!$C:$C,C293,'Question-Article-Match'!$F:$F,"direct match")&gt;0,"direct match",IF(COUNTIFS('Question-Article-Match'!$A:$A,A293,'Question-Article-Match'!$C:$C,C293,'Question-Article-Match'!$F:$F,"indirect match")&gt;0,"indirect match","no match"))</f>
        <v>no match</v>
      </c>
      <c r="H293" s="17">
        <f t="shared" si="20"/>
        <v>0</v>
      </c>
      <c r="I293" s="17">
        <f t="shared" si="21"/>
        <v>1</v>
      </c>
      <c r="J293" s="17" t="str">
        <f t="shared" si="22"/>
        <v>FP</v>
      </c>
    </row>
    <row r="294" spans="1:10">
      <c r="A294" s="17" t="s">
        <v>30</v>
      </c>
      <c r="B294" s="17" t="s">
        <v>31</v>
      </c>
      <c r="C294" s="17">
        <v>20</v>
      </c>
      <c r="D294" s="17" t="s">
        <v>113</v>
      </c>
      <c r="E294" s="17" t="s">
        <v>114</v>
      </c>
      <c r="F294" s="18">
        <v>0.1827</v>
      </c>
      <c r="G294" s="17" t="str">
        <f>IF(COUNTIFS('Question-Article-Match'!$A:$A,A294,'Question-Article-Match'!$C:$C,C294,'Question-Article-Match'!$F:$F,"direct match")&gt;0,"direct match",IF(COUNTIFS('Question-Article-Match'!$A:$A,A294,'Question-Article-Match'!$C:$C,C294,'Question-Article-Match'!$F:$F,"indirect match")&gt;0,"indirect match","no match"))</f>
        <v>no match</v>
      </c>
      <c r="H294" s="17">
        <f t="shared" si="20"/>
        <v>0</v>
      </c>
      <c r="I294" s="17">
        <f t="shared" si="21"/>
        <v>0</v>
      </c>
      <c r="J294" s="17" t="str">
        <f t="shared" si="22"/>
        <v>TN</v>
      </c>
    </row>
    <row r="295" spans="1:10">
      <c r="A295" s="17" t="s">
        <v>30</v>
      </c>
      <c r="B295" s="17" t="s">
        <v>31</v>
      </c>
      <c r="C295" s="17">
        <v>21</v>
      </c>
      <c r="D295" s="17" t="s">
        <v>46</v>
      </c>
      <c r="E295" s="17" t="s">
        <v>47</v>
      </c>
      <c r="F295" s="18">
        <v>0.20150000000000001</v>
      </c>
      <c r="G295" s="17" t="str">
        <f>IF(COUNTIFS('Question-Article-Match'!$A:$A,A295,'Question-Article-Match'!$C:$C,C295,'Question-Article-Match'!$F:$F,"direct match")&gt;0,"direct match",IF(COUNTIFS('Question-Article-Match'!$A:$A,A295,'Question-Article-Match'!$C:$C,C295,'Question-Article-Match'!$F:$F,"indirect match")&gt;0,"indirect match","no match"))</f>
        <v>no match</v>
      </c>
      <c r="H295" s="17">
        <f t="shared" si="20"/>
        <v>0</v>
      </c>
      <c r="I295" s="17">
        <f t="shared" si="21"/>
        <v>0</v>
      </c>
      <c r="J295" s="17" t="str">
        <f t="shared" si="22"/>
        <v>TN</v>
      </c>
    </row>
    <row r="296" spans="1:10">
      <c r="A296" s="17" t="s">
        <v>38</v>
      </c>
      <c r="B296" s="17" t="s">
        <v>39</v>
      </c>
      <c r="C296" s="17">
        <v>1</v>
      </c>
      <c r="D296" s="17" t="s">
        <v>22</v>
      </c>
      <c r="E296" s="17" t="s">
        <v>23</v>
      </c>
      <c r="F296" s="18">
        <v>5.8299999999999998E-2</v>
      </c>
      <c r="G296" s="17" t="str">
        <f>IF(COUNTIFS('Question-Article-Match'!$A:$A,A296,'Question-Article-Match'!$C:$C,C296,'Question-Article-Match'!$F:$F,"direct match")&gt;0,"direct match",IF(COUNTIFS('Question-Article-Match'!$A:$A,A296,'Question-Article-Match'!$C:$C,C296,'Question-Article-Match'!$F:$F,"indirect match")&gt;0,"indirect match","no match"))</f>
        <v>no match</v>
      </c>
      <c r="H296" s="17">
        <f t="shared" si="20"/>
        <v>0</v>
      </c>
      <c r="I296" s="17">
        <f t="shared" si="21"/>
        <v>0</v>
      </c>
      <c r="J296" s="17" t="str">
        <f t="shared" si="22"/>
        <v>TN</v>
      </c>
    </row>
    <row r="297" spans="1:10">
      <c r="A297" s="17" t="s">
        <v>38</v>
      </c>
      <c r="B297" s="17" t="s">
        <v>39</v>
      </c>
      <c r="C297" s="17">
        <v>2</v>
      </c>
      <c r="D297" s="17" t="s">
        <v>18</v>
      </c>
      <c r="E297" s="17" t="s">
        <v>19</v>
      </c>
      <c r="F297" s="18">
        <v>0.14199999999999999</v>
      </c>
      <c r="G297" s="17" t="str">
        <f>IF(COUNTIFS('Question-Article-Match'!$A:$A,A297,'Question-Article-Match'!$C:$C,C297,'Question-Article-Match'!$F:$F,"direct match")&gt;0,"direct match",IF(COUNTIFS('Question-Article-Match'!$A:$A,A297,'Question-Article-Match'!$C:$C,C297,'Question-Article-Match'!$F:$F,"indirect match")&gt;0,"indirect match","no match"))</f>
        <v>no match</v>
      </c>
      <c r="H297" s="17">
        <f t="shared" si="20"/>
        <v>0</v>
      </c>
      <c r="I297" s="17">
        <f t="shared" si="21"/>
        <v>0</v>
      </c>
      <c r="J297" s="17" t="str">
        <f t="shared" si="22"/>
        <v>TN</v>
      </c>
    </row>
    <row r="298" spans="1:10">
      <c r="A298" s="17" t="s">
        <v>38</v>
      </c>
      <c r="B298" s="17" t="s">
        <v>39</v>
      </c>
      <c r="C298" s="17">
        <v>3</v>
      </c>
      <c r="D298" s="17" t="s">
        <v>26</v>
      </c>
      <c r="E298" s="17" t="s">
        <v>27</v>
      </c>
      <c r="F298" s="18">
        <v>0.33639999999999998</v>
      </c>
      <c r="G298" s="17" t="str">
        <f>IF(COUNTIFS('Question-Article-Match'!$A:$A,A298,'Question-Article-Match'!$C:$C,C298,'Question-Article-Match'!$F:$F,"direct match")&gt;0,"direct match",IF(COUNTIFS('Question-Article-Match'!$A:$A,A298,'Question-Article-Match'!$C:$C,C298,'Question-Article-Match'!$F:$F,"indirect match")&gt;0,"indirect match","no match"))</f>
        <v>indirect match</v>
      </c>
      <c r="H298" s="17">
        <f t="shared" si="20"/>
        <v>1</v>
      </c>
      <c r="I298" s="17">
        <f t="shared" si="21"/>
        <v>0</v>
      </c>
      <c r="J298" s="17" t="str">
        <f t="shared" si="22"/>
        <v>FN</v>
      </c>
    </row>
    <row r="299" spans="1:10">
      <c r="A299" s="17" t="s">
        <v>38</v>
      </c>
      <c r="B299" s="17" t="s">
        <v>39</v>
      </c>
      <c r="C299" s="17">
        <v>4</v>
      </c>
      <c r="D299" s="17" t="s">
        <v>64</v>
      </c>
      <c r="E299" s="17" t="s">
        <v>65</v>
      </c>
      <c r="F299" s="18">
        <v>0.1183</v>
      </c>
      <c r="G299" s="17" t="str">
        <f>IF(COUNTIFS('Question-Article-Match'!$A:$A,A299,'Question-Article-Match'!$C:$C,C299,'Question-Article-Match'!$F:$F,"direct match")&gt;0,"direct match",IF(COUNTIFS('Question-Article-Match'!$A:$A,A299,'Question-Article-Match'!$C:$C,C299,'Question-Article-Match'!$F:$F,"indirect match")&gt;0,"indirect match","no match"))</f>
        <v>no match</v>
      </c>
      <c r="H299" s="17">
        <f t="shared" si="20"/>
        <v>0</v>
      </c>
      <c r="I299" s="17">
        <f t="shared" si="21"/>
        <v>0</v>
      </c>
      <c r="J299" s="17" t="str">
        <f t="shared" si="22"/>
        <v>TN</v>
      </c>
    </row>
    <row r="300" spans="1:10">
      <c r="A300" s="17" t="s">
        <v>38</v>
      </c>
      <c r="B300" s="17" t="s">
        <v>39</v>
      </c>
      <c r="C300" s="17">
        <v>5</v>
      </c>
      <c r="D300" s="17" t="s">
        <v>36</v>
      </c>
      <c r="E300" s="17" t="s">
        <v>37</v>
      </c>
      <c r="F300" s="18">
        <v>0.2457</v>
      </c>
      <c r="G300" s="17" t="str">
        <f>IF(COUNTIFS('Question-Article-Match'!$A:$A,A300,'Question-Article-Match'!$C:$C,C300,'Question-Article-Match'!$F:$F,"direct match")&gt;0,"direct match",IF(COUNTIFS('Question-Article-Match'!$A:$A,A300,'Question-Article-Match'!$C:$C,C300,'Question-Article-Match'!$F:$F,"indirect match")&gt;0,"indirect match","no match"))</f>
        <v>no match</v>
      </c>
      <c r="H300" s="17">
        <f t="shared" si="20"/>
        <v>0</v>
      </c>
      <c r="I300" s="17">
        <f t="shared" si="21"/>
        <v>0</v>
      </c>
      <c r="J300" s="17" t="str">
        <f t="shared" si="22"/>
        <v>TN</v>
      </c>
    </row>
    <row r="301" spans="1:10">
      <c r="A301" s="17" t="s">
        <v>38</v>
      </c>
      <c r="B301" s="17" t="s">
        <v>39</v>
      </c>
      <c r="C301" s="17">
        <v>6</v>
      </c>
      <c r="D301" s="17" t="s">
        <v>28</v>
      </c>
      <c r="E301" s="17" t="s">
        <v>29</v>
      </c>
      <c r="F301" s="18">
        <v>0.2276</v>
      </c>
      <c r="G301" s="17" t="str">
        <f>IF(COUNTIFS('Question-Article-Match'!$A:$A,A301,'Question-Article-Match'!$C:$C,C301,'Question-Article-Match'!$F:$F,"direct match")&gt;0,"direct match",IF(COUNTIFS('Question-Article-Match'!$A:$A,A301,'Question-Article-Match'!$C:$C,C301,'Question-Article-Match'!$F:$F,"indirect match")&gt;0,"indirect match","no match"))</f>
        <v>no match</v>
      </c>
      <c r="H301" s="17">
        <f t="shared" si="20"/>
        <v>0</v>
      </c>
      <c r="I301" s="17">
        <f t="shared" si="21"/>
        <v>0</v>
      </c>
      <c r="J301" s="17" t="str">
        <f t="shared" si="22"/>
        <v>TN</v>
      </c>
    </row>
    <row r="302" spans="1:10">
      <c r="A302" s="17" t="s">
        <v>38</v>
      </c>
      <c r="B302" s="17" t="s">
        <v>39</v>
      </c>
      <c r="C302" s="17">
        <v>7</v>
      </c>
      <c r="D302" s="17" t="s">
        <v>75</v>
      </c>
      <c r="E302" s="17" t="s">
        <v>76</v>
      </c>
      <c r="F302" s="18">
        <v>0.15970000000000001</v>
      </c>
      <c r="G302" s="17" t="str">
        <f>IF(COUNTIFS('Question-Article-Match'!$A:$A,A302,'Question-Article-Match'!$C:$C,C302,'Question-Article-Match'!$F:$F,"direct match")&gt;0,"direct match",IF(COUNTIFS('Question-Article-Match'!$A:$A,A302,'Question-Article-Match'!$C:$C,C302,'Question-Article-Match'!$F:$F,"indirect match")&gt;0,"indirect match","no match"))</f>
        <v>no match</v>
      </c>
      <c r="H302" s="17">
        <f t="shared" si="20"/>
        <v>0</v>
      </c>
      <c r="I302" s="17">
        <f t="shared" si="21"/>
        <v>0</v>
      </c>
      <c r="J302" s="17" t="str">
        <f t="shared" si="22"/>
        <v>TN</v>
      </c>
    </row>
    <row r="303" spans="1:10">
      <c r="A303" s="17" t="s">
        <v>38</v>
      </c>
      <c r="B303" s="17" t="s">
        <v>39</v>
      </c>
      <c r="C303" s="17">
        <v>8</v>
      </c>
      <c r="D303" s="17" t="s">
        <v>40</v>
      </c>
      <c r="E303" s="17" t="s">
        <v>41</v>
      </c>
      <c r="F303" s="18">
        <v>0.26850000000000002</v>
      </c>
      <c r="G303" s="17" t="str">
        <f>IF(COUNTIFS('Question-Article-Match'!$A:$A,A303,'Question-Article-Match'!$C:$C,C303,'Question-Article-Match'!$F:$F,"direct match")&gt;0,"direct match",IF(COUNTIFS('Question-Article-Match'!$A:$A,A303,'Question-Article-Match'!$C:$C,C303,'Question-Article-Match'!$F:$F,"indirect match")&gt;0,"indirect match","no match"))</f>
        <v>no match</v>
      </c>
      <c r="H303" s="17">
        <f t="shared" si="20"/>
        <v>0</v>
      </c>
      <c r="I303" s="17">
        <f t="shared" si="21"/>
        <v>0</v>
      </c>
      <c r="J303" s="17" t="str">
        <f t="shared" si="22"/>
        <v>TN</v>
      </c>
    </row>
    <row r="304" spans="1:10">
      <c r="A304" s="17" t="s">
        <v>38</v>
      </c>
      <c r="B304" s="17" t="s">
        <v>39</v>
      </c>
      <c r="C304" s="17">
        <v>9</v>
      </c>
      <c r="D304" s="17" t="s">
        <v>10</v>
      </c>
      <c r="E304" s="17" t="s">
        <v>11</v>
      </c>
      <c r="F304" s="18">
        <v>0.14360000000000001</v>
      </c>
      <c r="G304" s="17" t="str">
        <f>IF(COUNTIFS('Question-Article-Match'!$A:$A,A304,'Question-Article-Match'!$C:$C,C304,'Question-Article-Match'!$F:$F,"direct match")&gt;0,"direct match",IF(COUNTIFS('Question-Article-Match'!$A:$A,A304,'Question-Article-Match'!$C:$C,C304,'Question-Article-Match'!$F:$F,"indirect match")&gt;0,"indirect match","no match"))</f>
        <v>no match</v>
      </c>
      <c r="H304" s="17">
        <f t="shared" si="20"/>
        <v>0</v>
      </c>
      <c r="I304" s="17">
        <f t="shared" si="21"/>
        <v>0</v>
      </c>
      <c r="J304" s="17" t="str">
        <f t="shared" si="22"/>
        <v>TN</v>
      </c>
    </row>
    <row r="305" spans="1:10">
      <c r="A305" s="17" t="s">
        <v>38</v>
      </c>
      <c r="B305" s="17" t="s">
        <v>39</v>
      </c>
      <c r="C305" s="17">
        <v>10</v>
      </c>
      <c r="D305" s="17" t="s">
        <v>32</v>
      </c>
      <c r="E305" s="17" t="s">
        <v>33</v>
      </c>
      <c r="F305" s="18">
        <v>8.9599999999999999E-2</v>
      </c>
      <c r="G305" s="17" t="str">
        <f>IF(COUNTIFS('Question-Article-Match'!$A:$A,A305,'Question-Article-Match'!$C:$C,C305,'Question-Article-Match'!$F:$F,"direct match")&gt;0,"direct match",IF(COUNTIFS('Question-Article-Match'!$A:$A,A305,'Question-Article-Match'!$C:$C,C305,'Question-Article-Match'!$F:$F,"indirect match")&gt;0,"indirect match","no match"))</f>
        <v>no match</v>
      </c>
      <c r="H305" s="17">
        <f t="shared" si="20"/>
        <v>0</v>
      </c>
      <c r="I305" s="17">
        <f t="shared" si="21"/>
        <v>0</v>
      </c>
      <c r="J305" s="17" t="str">
        <f t="shared" si="22"/>
        <v>TN</v>
      </c>
    </row>
    <row r="306" spans="1:10">
      <c r="A306" s="17" t="s">
        <v>38</v>
      </c>
      <c r="B306" s="17" t="s">
        <v>39</v>
      </c>
      <c r="C306" s="17">
        <v>11</v>
      </c>
      <c r="D306" s="17" t="s">
        <v>89</v>
      </c>
      <c r="E306" s="17" t="s">
        <v>90</v>
      </c>
      <c r="F306" s="18">
        <v>0.11269999999999999</v>
      </c>
      <c r="G306" s="17" t="str">
        <f>IF(COUNTIFS('Question-Article-Match'!$A:$A,A306,'Question-Article-Match'!$C:$C,C306,'Question-Article-Match'!$F:$F,"direct match")&gt;0,"direct match",IF(COUNTIFS('Question-Article-Match'!$A:$A,A306,'Question-Article-Match'!$C:$C,C306,'Question-Article-Match'!$F:$F,"indirect match")&gt;0,"indirect match","no match"))</f>
        <v>no match</v>
      </c>
      <c r="H306" s="17">
        <f t="shared" si="20"/>
        <v>0</v>
      </c>
      <c r="I306" s="17">
        <f t="shared" si="21"/>
        <v>0</v>
      </c>
      <c r="J306" s="17" t="str">
        <f t="shared" si="22"/>
        <v>TN</v>
      </c>
    </row>
    <row r="307" spans="1:10">
      <c r="A307" s="17" t="s">
        <v>38</v>
      </c>
      <c r="B307" s="17" t="s">
        <v>39</v>
      </c>
      <c r="C307" s="17">
        <v>12</v>
      </c>
      <c r="D307" s="17" t="s">
        <v>20</v>
      </c>
      <c r="E307" s="17" t="s">
        <v>21</v>
      </c>
      <c r="F307" s="18">
        <v>0.16900000000000001</v>
      </c>
      <c r="G307" s="17" t="str">
        <f>IF(COUNTIFS('Question-Article-Match'!$A:$A,A307,'Question-Article-Match'!$C:$C,C307,'Question-Article-Match'!$F:$F,"direct match")&gt;0,"direct match",IF(COUNTIFS('Question-Article-Match'!$A:$A,A307,'Question-Article-Match'!$C:$C,C307,'Question-Article-Match'!$F:$F,"indirect match")&gt;0,"indirect match","no match"))</f>
        <v>no match</v>
      </c>
      <c r="H307" s="17">
        <f t="shared" si="20"/>
        <v>0</v>
      </c>
      <c r="I307" s="17">
        <f t="shared" si="21"/>
        <v>0</v>
      </c>
      <c r="J307" s="17" t="str">
        <f t="shared" si="22"/>
        <v>TN</v>
      </c>
    </row>
    <row r="308" spans="1:10">
      <c r="A308" s="17" t="s">
        <v>38</v>
      </c>
      <c r="B308" s="17" t="s">
        <v>39</v>
      </c>
      <c r="C308" s="17">
        <v>13</v>
      </c>
      <c r="D308" s="17" t="s">
        <v>34</v>
      </c>
      <c r="E308" s="17" t="s">
        <v>35</v>
      </c>
      <c r="F308" s="18">
        <v>0.18709999999999999</v>
      </c>
      <c r="G308" s="17" t="str">
        <f>IF(COUNTIFS('Question-Article-Match'!$A:$A,A308,'Question-Article-Match'!$C:$C,C308,'Question-Article-Match'!$F:$F,"direct match")&gt;0,"direct match",IF(COUNTIFS('Question-Article-Match'!$A:$A,A308,'Question-Article-Match'!$C:$C,C308,'Question-Article-Match'!$F:$F,"indirect match")&gt;0,"indirect match","no match"))</f>
        <v>no match</v>
      </c>
      <c r="H308" s="17">
        <f t="shared" si="20"/>
        <v>0</v>
      </c>
      <c r="I308" s="17">
        <f t="shared" si="21"/>
        <v>0</v>
      </c>
      <c r="J308" s="17" t="str">
        <f t="shared" si="22"/>
        <v>TN</v>
      </c>
    </row>
    <row r="309" spans="1:10">
      <c r="A309" s="17" t="s">
        <v>38</v>
      </c>
      <c r="B309" s="17" t="s">
        <v>39</v>
      </c>
      <c r="C309" s="17">
        <v>14</v>
      </c>
      <c r="D309" s="17" t="s">
        <v>16</v>
      </c>
      <c r="E309" s="17" t="s">
        <v>17</v>
      </c>
      <c r="F309" s="18">
        <v>0.38990000000000002</v>
      </c>
      <c r="G309" s="17" t="str">
        <f>IF(COUNTIFS('Question-Article-Match'!$A:$A,A309,'Question-Article-Match'!$C:$C,C309,'Question-Article-Match'!$F:$F,"direct match")&gt;0,"direct match",IF(COUNTIFS('Question-Article-Match'!$A:$A,A309,'Question-Article-Match'!$C:$C,C309,'Question-Article-Match'!$F:$F,"indirect match")&gt;0,"indirect match","no match"))</f>
        <v>no match</v>
      </c>
      <c r="H309" s="17">
        <f t="shared" si="20"/>
        <v>0</v>
      </c>
      <c r="I309" s="17">
        <f t="shared" si="21"/>
        <v>1</v>
      </c>
      <c r="J309" s="17" t="str">
        <f t="shared" si="22"/>
        <v>FP</v>
      </c>
    </row>
    <row r="310" spans="1:10">
      <c r="A310" s="17" t="s">
        <v>38</v>
      </c>
      <c r="B310" s="17" t="s">
        <v>39</v>
      </c>
      <c r="C310" s="17">
        <v>15</v>
      </c>
      <c r="D310" s="17" t="s">
        <v>42</v>
      </c>
      <c r="E310" s="17" t="s">
        <v>43</v>
      </c>
      <c r="F310" s="18">
        <v>0.2611</v>
      </c>
      <c r="G310" s="17" t="str">
        <f>IF(COUNTIFS('Question-Article-Match'!$A:$A,A310,'Question-Article-Match'!$C:$C,C310,'Question-Article-Match'!$F:$F,"direct match")&gt;0,"direct match",IF(COUNTIFS('Question-Article-Match'!$A:$A,A310,'Question-Article-Match'!$C:$C,C310,'Question-Article-Match'!$F:$F,"indirect match")&gt;0,"indirect match","no match"))</f>
        <v>no match</v>
      </c>
      <c r="H310" s="17">
        <f t="shared" si="20"/>
        <v>0</v>
      </c>
      <c r="I310" s="17">
        <f t="shared" si="21"/>
        <v>0</v>
      </c>
      <c r="J310" s="17" t="str">
        <f t="shared" si="22"/>
        <v>TN</v>
      </c>
    </row>
    <row r="311" spans="1:10">
      <c r="A311" s="17" t="s">
        <v>38</v>
      </c>
      <c r="B311" s="17" t="s">
        <v>39</v>
      </c>
      <c r="C311" s="17">
        <v>16</v>
      </c>
      <c r="D311" s="17" t="s">
        <v>12</v>
      </c>
      <c r="E311" s="17" t="s">
        <v>13</v>
      </c>
      <c r="F311" s="18">
        <v>0.37290000000000001</v>
      </c>
      <c r="G311" s="17" t="str">
        <f>IF(COUNTIFS('Question-Article-Match'!$A:$A,A311,'Question-Article-Match'!$C:$C,C311,'Question-Article-Match'!$F:$F,"direct match")&gt;0,"direct match",IF(COUNTIFS('Question-Article-Match'!$A:$A,A311,'Question-Article-Match'!$C:$C,C311,'Question-Article-Match'!$F:$F,"indirect match")&gt;0,"indirect match","no match"))</f>
        <v>no match</v>
      </c>
      <c r="H311" s="17">
        <f t="shared" si="20"/>
        <v>0</v>
      </c>
      <c r="I311" s="17">
        <f t="shared" si="21"/>
        <v>1</v>
      </c>
      <c r="J311" s="17" t="str">
        <f t="shared" si="22"/>
        <v>FP</v>
      </c>
    </row>
    <row r="312" spans="1:10">
      <c r="A312" s="17" t="s">
        <v>38</v>
      </c>
      <c r="B312" s="17" t="s">
        <v>39</v>
      </c>
      <c r="C312" s="17">
        <v>17</v>
      </c>
      <c r="D312" s="17" t="s">
        <v>108</v>
      </c>
      <c r="E312" s="17" t="s">
        <v>109</v>
      </c>
      <c r="F312" s="18">
        <v>0.13869999999999999</v>
      </c>
      <c r="G312" s="17" t="str">
        <f>IF(COUNTIFS('Question-Article-Match'!$A:$A,A312,'Question-Article-Match'!$C:$C,C312,'Question-Article-Match'!$F:$F,"direct match")&gt;0,"direct match",IF(COUNTIFS('Question-Article-Match'!$A:$A,A312,'Question-Article-Match'!$C:$C,C312,'Question-Article-Match'!$F:$F,"indirect match")&gt;0,"indirect match","no match"))</f>
        <v>no match</v>
      </c>
      <c r="H312" s="17">
        <f t="shared" si="20"/>
        <v>0</v>
      </c>
      <c r="I312" s="17">
        <f t="shared" si="21"/>
        <v>0</v>
      </c>
      <c r="J312" s="17" t="str">
        <f t="shared" si="22"/>
        <v>TN</v>
      </c>
    </row>
    <row r="313" spans="1:10">
      <c r="A313" s="17" t="s">
        <v>38</v>
      </c>
      <c r="B313" s="17" t="s">
        <v>39</v>
      </c>
      <c r="C313" s="17">
        <v>18</v>
      </c>
      <c r="D313" s="17" t="s">
        <v>24</v>
      </c>
      <c r="E313" s="17" t="s">
        <v>25</v>
      </c>
      <c r="F313" s="18">
        <v>0.52539999999999998</v>
      </c>
      <c r="G313" s="17" t="str">
        <f>IF(COUNTIFS('Question-Article-Match'!$A:$A,A313,'Question-Article-Match'!$C:$C,C313,'Question-Article-Match'!$F:$F,"direct match")&gt;0,"direct match",IF(COUNTIFS('Question-Article-Match'!$A:$A,A313,'Question-Article-Match'!$C:$C,C313,'Question-Article-Match'!$F:$F,"indirect match")&gt;0,"indirect match","no match"))</f>
        <v>direct match</v>
      </c>
      <c r="H313" s="17">
        <f t="shared" si="20"/>
        <v>1</v>
      </c>
      <c r="I313" s="17">
        <f t="shared" si="21"/>
        <v>1</v>
      </c>
      <c r="J313" s="17" t="str">
        <f t="shared" si="22"/>
        <v>TP</v>
      </c>
    </row>
    <row r="314" spans="1:10">
      <c r="A314" s="17" t="s">
        <v>38</v>
      </c>
      <c r="B314" s="17" t="s">
        <v>39</v>
      </c>
      <c r="C314" s="17">
        <v>19</v>
      </c>
      <c r="D314" s="17" t="s">
        <v>14</v>
      </c>
      <c r="E314" s="17" t="s">
        <v>15</v>
      </c>
      <c r="F314" s="18">
        <v>0.43580000000000002</v>
      </c>
      <c r="G314" s="17" t="str">
        <f>IF(COUNTIFS('Question-Article-Match'!$A:$A,A314,'Question-Article-Match'!$C:$C,C314,'Question-Article-Match'!$F:$F,"direct match")&gt;0,"direct match",IF(COUNTIFS('Question-Article-Match'!$A:$A,A314,'Question-Article-Match'!$C:$C,C314,'Question-Article-Match'!$F:$F,"indirect match")&gt;0,"indirect match","no match"))</f>
        <v>no match</v>
      </c>
      <c r="H314" s="17">
        <f t="shared" si="20"/>
        <v>0</v>
      </c>
      <c r="I314" s="17">
        <f t="shared" si="21"/>
        <v>1</v>
      </c>
      <c r="J314" s="17" t="str">
        <f t="shared" si="22"/>
        <v>FP</v>
      </c>
    </row>
    <row r="315" spans="1:10">
      <c r="A315" s="17" t="s">
        <v>38</v>
      </c>
      <c r="B315" s="17" t="s">
        <v>39</v>
      </c>
      <c r="C315" s="17">
        <v>20</v>
      </c>
      <c r="D315" s="17" t="s">
        <v>113</v>
      </c>
      <c r="E315" s="17" t="s">
        <v>114</v>
      </c>
      <c r="F315" s="18">
        <v>0.17560000000000001</v>
      </c>
      <c r="G315" s="17" t="str">
        <f>IF(COUNTIFS('Question-Article-Match'!$A:$A,A315,'Question-Article-Match'!$C:$C,C315,'Question-Article-Match'!$F:$F,"direct match")&gt;0,"direct match",IF(COUNTIFS('Question-Article-Match'!$A:$A,A315,'Question-Article-Match'!$C:$C,C315,'Question-Article-Match'!$F:$F,"indirect match")&gt;0,"indirect match","no match"))</f>
        <v>no match</v>
      </c>
      <c r="H315" s="17">
        <f t="shared" si="20"/>
        <v>0</v>
      </c>
      <c r="I315" s="17">
        <f t="shared" si="21"/>
        <v>0</v>
      </c>
      <c r="J315" s="17" t="str">
        <f t="shared" si="22"/>
        <v>TN</v>
      </c>
    </row>
    <row r="316" spans="1:10">
      <c r="A316" s="17" t="s">
        <v>38</v>
      </c>
      <c r="B316" s="17" t="s">
        <v>39</v>
      </c>
      <c r="C316" s="17">
        <v>21</v>
      </c>
      <c r="D316" s="17" t="s">
        <v>46</v>
      </c>
      <c r="E316" s="17" t="s">
        <v>47</v>
      </c>
      <c r="F316" s="18">
        <v>6.2399999999999997E-2</v>
      </c>
      <c r="G316" s="17" t="str">
        <f>IF(COUNTIFS('Question-Article-Match'!$A:$A,A316,'Question-Article-Match'!$C:$C,C316,'Question-Article-Match'!$F:$F,"direct match")&gt;0,"direct match",IF(COUNTIFS('Question-Article-Match'!$A:$A,A316,'Question-Article-Match'!$C:$C,C316,'Question-Article-Match'!$F:$F,"indirect match")&gt;0,"indirect match","no match"))</f>
        <v>no match</v>
      </c>
      <c r="H316" s="17">
        <f t="shared" si="20"/>
        <v>0</v>
      </c>
      <c r="I316" s="17">
        <f t="shared" si="21"/>
        <v>0</v>
      </c>
      <c r="J316" s="17" t="str">
        <f t="shared" si="22"/>
        <v>TN</v>
      </c>
    </row>
    <row r="317" spans="1:10">
      <c r="A317" s="17" t="s">
        <v>44</v>
      </c>
      <c r="B317" s="17" t="s">
        <v>45</v>
      </c>
      <c r="C317" s="17">
        <v>1</v>
      </c>
      <c r="D317" s="17" t="s">
        <v>22</v>
      </c>
      <c r="E317" s="17" t="s">
        <v>23</v>
      </c>
      <c r="F317" s="18">
        <v>0.31940000000000002</v>
      </c>
      <c r="G317" s="17" t="str">
        <f>IF(COUNTIFS('Question-Article-Match'!$A:$A,A317,'Question-Article-Match'!$C:$C,C317,'Question-Article-Match'!$F:$F,"direct match")&gt;0,"direct match",IF(COUNTIFS('Question-Article-Match'!$A:$A,A317,'Question-Article-Match'!$C:$C,C317,'Question-Article-Match'!$F:$F,"indirect match")&gt;0,"indirect match","no match"))</f>
        <v>no match</v>
      </c>
      <c r="H317" s="17">
        <f t="shared" si="20"/>
        <v>0</v>
      </c>
      <c r="I317" s="17">
        <f t="shared" si="21"/>
        <v>0</v>
      </c>
      <c r="J317" s="17" t="str">
        <f t="shared" si="22"/>
        <v>TN</v>
      </c>
    </row>
    <row r="318" spans="1:10">
      <c r="A318" s="17" t="s">
        <v>44</v>
      </c>
      <c r="B318" s="17" t="s">
        <v>45</v>
      </c>
      <c r="C318" s="17">
        <v>2</v>
      </c>
      <c r="D318" s="17" t="s">
        <v>18</v>
      </c>
      <c r="E318" s="17" t="s">
        <v>19</v>
      </c>
      <c r="F318" s="18">
        <v>0.35759999999999997</v>
      </c>
      <c r="G318" s="17" t="str">
        <f>IF(COUNTIFS('Question-Article-Match'!$A:$A,A318,'Question-Article-Match'!$C:$C,C318,'Question-Article-Match'!$F:$F,"direct match")&gt;0,"direct match",IF(COUNTIFS('Question-Article-Match'!$A:$A,A318,'Question-Article-Match'!$C:$C,C318,'Question-Article-Match'!$F:$F,"indirect match")&gt;0,"indirect match","no match"))</f>
        <v>no match</v>
      </c>
      <c r="H318" s="17">
        <f t="shared" si="20"/>
        <v>0</v>
      </c>
      <c r="I318" s="17">
        <f t="shared" si="21"/>
        <v>1</v>
      </c>
      <c r="J318" s="17" t="str">
        <f t="shared" si="22"/>
        <v>FP</v>
      </c>
    </row>
    <row r="319" spans="1:10">
      <c r="A319" s="17" t="s">
        <v>44</v>
      </c>
      <c r="B319" s="17" t="s">
        <v>45</v>
      </c>
      <c r="C319" s="17">
        <v>3</v>
      </c>
      <c r="D319" s="17" t="s">
        <v>26</v>
      </c>
      <c r="E319" s="17" t="s">
        <v>27</v>
      </c>
      <c r="F319" s="18">
        <v>0.66569999999999996</v>
      </c>
      <c r="G319" s="17" t="str">
        <f>IF(COUNTIFS('Question-Article-Match'!$A:$A,A319,'Question-Article-Match'!$C:$C,C319,'Question-Article-Match'!$F:$F,"direct match")&gt;0,"direct match",IF(COUNTIFS('Question-Article-Match'!$A:$A,A319,'Question-Article-Match'!$C:$C,C319,'Question-Article-Match'!$F:$F,"indirect match")&gt;0,"indirect match","no match"))</f>
        <v>direct match</v>
      </c>
      <c r="H319" s="17">
        <f t="shared" si="20"/>
        <v>1</v>
      </c>
      <c r="I319" s="17">
        <f t="shared" si="21"/>
        <v>1</v>
      </c>
      <c r="J319" s="17" t="str">
        <f t="shared" si="22"/>
        <v>TP</v>
      </c>
    </row>
    <row r="320" spans="1:10">
      <c r="A320" s="17" t="s">
        <v>44</v>
      </c>
      <c r="B320" s="17" t="s">
        <v>45</v>
      </c>
      <c r="C320" s="17">
        <v>4</v>
      </c>
      <c r="D320" s="17" t="s">
        <v>64</v>
      </c>
      <c r="E320" s="17" t="s">
        <v>65</v>
      </c>
      <c r="F320" s="18">
        <v>6.83E-2</v>
      </c>
      <c r="G320" s="17" t="str">
        <f>IF(COUNTIFS('Question-Article-Match'!$A:$A,A320,'Question-Article-Match'!$C:$C,C320,'Question-Article-Match'!$F:$F,"direct match")&gt;0,"direct match",IF(COUNTIFS('Question-Article-Match'!$A:$A,A320,'Question-Article-Match'!$C:$C,C320,'Question-Article-Match'!$F:$F,"indirect match")&gt;0,"indirect match","no match"))</f>
        <v>no match</v>
      </c>
      <c r="H320" s="17">
        <f t="shared" si="20"/>
        <v>0</v>
      </c>
      <c r="I320" s="17">
        <f t="shared" si="21"/>
        <v>0</v>
      </c>
      <c r="J320" s="17" t="str">
        <f t="shared" si="22"/>
        <v>TN</v>
      </c>
    </row>
    <row r="321" spans="1:10">
      <c r="A321" s="17" t="s">
        <v>44</v>
      </c>
      <c r="B321" s="17" t="s">
        <v>45</v>
      </c>
      <c r="C321" s="17">
        <v>5</v>
      </c>
      <c r="D321" s="17" t="s">
        <v>36</v>
      </c>
      <c r="E321" s="17" t="s">
        <v>37</v>
      </c>
      <c r="F321" s="18">
        <v>0.20499999999999999</v>
      </c>
      <c r="G321" s="17" t="str">
        <f>IF(COUNTIFS('Question-Article-Match'!$A:$A,A321,'Question-Article-Match'!$C:$C,C321,'Question-Article-Match'!$F:$F,"direct match")&gt;0,"direct match",IF(COUNTIFS('Question-Article-Match'!$A:$A,A321,'Question-Article-Match'!$C:$C,C321,'Question-Article-Match'!$F:$F,"indirect match")&gt;0,"indirect match","no match"))</f>
        <v>no match</v>
      </c>
      <c r="H321" s="17">
        <f t="shared" si="20"/>
        <v>0</v>
      </c>
      <c r="I321" s="17">
        <f t="shared" si="21"/>
        <v>0</v>
      </c>
      <c r="J321" s="17" t="str">
        <f t="shared" si="22"/>
        <v>TN</v>
      </c>
    </row>
    <row r="322" spans="1:10">
      <c r="A322" s="17" t="s">
        <v>44</v>
      </c>
      <c r="B322" s="17" t="s">
        <v>45</v>
      </c>
      <c r="C322" s="17">
        <v>6</v>
      </c>
      <c r="D322" s="17" t="s">
        <v>28</v>
      </c>
      <c r="E322" s="17" t="s">
        <v>29</v>
      </c>
      <c r="F322" s="18">
        <v>0.15570000000000001</v>
      </c>
      <c r="G322" s="17" t="str">
        <f>IF(COUNTIFS('Question-Article-Match'!$A:$A,A322,'Question-Article-Match'!$C:$C,C322,'Question-Article-Match'!$F:$F,"direct match")&gt;0,"direct match",IF(COUNTIFS('Question-Article-Match'!$A:$A,A322,'Question-Article-Match'!$C:$C,C322,'Question-Article-Match'!$F:$F,"indirect match")&gt;0,"indirect match","no match"))</f>
        <v>no match</v>
      </c>
      <c r="H322" s="17">
        <f t="shared" ref="H322:H385" si="23">IF(G322="no match",0,1)</f>
        <v>0</v>
      </c>
      <c r="I322" s="17">
        <f t="shared" ref="I322:I337" si="24">IF(F322&gt;=$N$2,1,0)</f>
        <v>0</v>
      </c>
      <c r="J322" s="17" t="str">
        <f t="shared" ref="J322:J385" si="25">IF(AND(H322=1,I322=1),"TP",IF(AND(H322=0,I322=1),"FP",IF(H322=1,"FN","TN")))</f>
        <v>TN</v>
      </c>
    </row>
    <row r="323" spans="1:10">
      <c r="A323" s="17" t="s">
        <v>44</v>
      </c>
      <c r="B323" s="17" t="s">
        <v>45</v>
      </c>
      <c r="C323" s="17">
        <v>7</v>
      </c>
      <c r="D323" s="17" t="s">
        <v>75</v>
      </c>
      <c r="E323" s="17" t="s">
        <v>76</v>
      </c>
      <c r="F323" s="18">
        <v>0.1077</v>
      </c>
      <c r="G323" s="17" t="str">
        <f>IF(COUNTIFS('Question-Article-Match'!$A:$A,A323,'Question-Article-Match'!$C:$C,C323,'Question-Article-Match'!$F:$F,"direct match")&gt;0,"direct match",IF(COUNTIFS('Question-Article-Match'!$A:$A,A323,'Question-Article-Match'!$C:$C,C323,'Question-Article-Match'!$F:$F,"indirect match")&gt;0,"indirect match","no match"))</f>
        <v>no match</v>
      </c>
      <c r="H323" s="17">
        <f t="shared" si="23"/>
        <v>0</v>
      </c>
      <c r="I323" s="17">
        <f t="shared" si="24"/>
        <v>0</v>
      </c>
      <c r="J323" s="17" t="str">
        <f t="shared" si="25"/>
        <v>TN</v>
      </c>
    </row>
    <row r="324" spans="1:10">
      <c r="A324" s="17" t="s">
        <v>44</v>
      </c>
      <c r="B324" s="17" t="s">
        <v>45</v>
      </c>
      <c r="C324" s="17">
        <v>8</v>
      </c>
      <c r="D324" s="17" t="s">
        <v>40</v>
      </c>
      <c r="E324" s="17" t="s">
        <v>41</v>
      </c>
      <c r="F324" s="18">
        <v>0.19589999999999999</v>
      </c>
      <c r="G324" s="17" t="str">
        <f>IF(COUNTIFS('Question-Article-Match'!$A:$A,A324,'Question-Article-Match'!$C:$C,C324,'Question-Article-Match'!$F:$F,"direct match")&gt;0,"direct match",IF(COUNTIFS('Question-Article-Match'!$A:$A,A324,'Question-Article-Match'!$C:$C,C324,'Question-Article-Match'!$F:$F,"indirect match")&gt;0,"indirect match","no match"))</f>
        <v>no match</v>
      </c>
      <c r="H324" s="17">
        <f t="shared" si="23"/>
        <v>0</v>
      </c>
      <c r="I324" s="17">
        <f t="shared" si="24"/>
        <v>0</v>
      </c>
      <c r="J324" s="17" t="str">
        <f t="shared" si="25"/>
        <v>TN</v>
      </c>
    </row>
    <row r="325" spans="1:10">
      <c r="A325" s="17" t="s">
        <v>44</v>
      </c>
      <c r="B325" s="17" t="s">
        <v>45</v>
      </c>
      <c r="C325" s="17">
        <v>9</v>
      </c>
      <c r="D325" s="17" t="s">
        <v>10</v>
      </c>
      <c r="E325" s="17" t="s">
        <v>11</v>
      </c>
      <c r="F325" s="18">
        <v>7.4300000000000005E-2</v>
      </c>
      <c r="G325" s="17" t="str">
        <f>IF(COUNTIFS('Question-Article-Match'!$A:$A,A325,'Question-Article-Match'!$C:$C,C325,'Question-Article-Match'!$F:$F,"direct match")&gt;0,"direct match",IF(COUNTIFS('Question-Article-Match'!$A:$A,A325,'Question-Article-Match'!$C:$C,C325,'Question-Article-Match'!$F:$F,"indirect match")&gt;0,"indirect match","no match"))</f>
        <v>no match</v>
      </c>
      <c r="H325" s="17">
        <f t="shared" si="23"/>
        <v>0</v>
      </c>
      <c r="I325" s="17">
        <f t="shared" si="24"/>
        <v>0</v>
      </c>
      <c r="J325" s="17" t="str">
        <f t="shared" si="25"/>
        <v>TN</v>
      </c>
    </row>
    <row r="326" spans="1:10">
      <c r="A326" s="17" t="s">
        <v>44</v>
      </c>
      <c r="B326" s="17" t="s">
        <v>45</v>
      </c>
      <c r="C326" s="17">
        <v>10</v>
      </c>
      <c r="D326" s="17" t="s">
        <v>32</v>
      </c>
      <c r="E326" s="17" t="s">
        <v>33</v>
      </c>
      <c r="F326" s="18">
        <v>0.1983</v>
      </c>
      <c r="G326" s="17" t="str">
        <f>IF(COUNTIFS('Question-Article-Match'!$A:$A,A326,'Question-Article-Match'!$C:$C,C326,'Question-Article-Match'!$F:$F,"direct match")&gt;0,"direct match",IF(COUNTIFS('Question-Article-Match'!$A:$A,A326,'Question-Article-Match'!$C:$C,C326,'Question-Article-Match'!$F:$F,"indirect match")&gt;0,"indirect match","no match"))</f>
        <v>no match</v>
      </c>
      <c r="H326" s="17">
        <f t="shared" si="23"/>
        <v>0</v>
      </c>
      <c r="I326" s="17">
        <f t="shared" si="24"/>
        <v>0</v>
      </c>
      <c r="J326" s="17" t="str">
        <f t="shared" si="25"/>
        <v>TN</v>
      </c>
    </row>
    <row r="327" spans="1:10">
      <c r="A327" s="17" t="s">
        <v>44</v>
      </c>
      <c r="B327" s="17" t="s">
        <v>45</v>
      </c>
      <c r="C327" s="17">
        <v>11</v>
      </c>
      <c r="D327" s="17" t="s">
        <v>89</v>
      </c>
      <c r="E327" s="17" t="s">
        <v>90</v>
      </c>
      <c r="F327" s="18">
        <v>0.2326</v>
      </c>
      <c r="G327" s="17" t="str">
        <f>IF(COUNTIFS('Question-Article-Match'!$A:$A,A327,'Question-Article-Match'!$C:$C,C327,'Question-Article-Match'!$F:$F,"direct match")&gt;0,"direct match",IF(COUNTIFS('Question-Article-Match'!$A:$A,A327,'Question-Article-Match'!$C:$C,C327,'Question-Article-Match'!$F:$F,"indirect match")&gt;0,"indirect match","no match"))</f>
        <v>no match</v>
      </c>
      <c r="H327" s="17">
        <f t="shared" si="23"/>
        <v>0</v>
      </c>
      <c r="I327" s="17">
        <f t="shared" si="24"/>
        <v>0</v>
      </c>
      <c r="J327" s="17" t="str">
        <f t="shared" si="25"/>
        <v>TN</v>
      </c>
    </row>
    <row r="328" spans="1:10">
      <c r="A328" s="17" t="s">
        <v>44</v>
      </c>
      <c r="B328" s="17" t="s">
        <v>45</v>
      </c>
      <c r="C328" s="17">
        <v>12</v>
      </c>
      <c r="D328" s="17" t="s">
        <v>20</v>
      </c>
      <c r="E328" s="17" t="s">
        <v>21</v>
      </c>
      <c r="F328" s="18">
        <v>0.2697</v>
      </c>
      <c r="G328" s="17" t="str">
        <f>IF(COUNTIFS('Question-Article-Match'!$A:$A,A328,'Question-Article-Match'!$C:$C,C328,'Question-Article-Match'!$F:$F,"direct match")&gt;0,"direct match",IF(COUNTIFS('Question-Article-Match'!$A:$A,A328,'Question-Article-Match'!$C:$C,C328,'Question-Article-Match'!$F:$F,"indirect match")&gt;0,"indirect match","no match"))</f>
        <v>no match</v>
      </c>
      <c r="H328" s="17">
        <f t="shared" si="23"/>
        <v>0</v>
      </c>
      <c r="I328" s="17">
        <f t="shared" si="24"/>
        <v>0</v>
      </c>
      <c r="J328" s="17" t="str">
        <f t="shared" si="25"/>
        <v>TN</v>
      </c>
    </row>
    <row r="329" spans="1:10">
      <c r="A329" s="17" t="s">
        <v>44</v>
      </c>
      <c r="B329" s="17" t="s">
        <v>45</v>
      </c>
      <c r="C329" s="17">
        <v>13</v>
      </c>
      <c r="D329" s="17" t="s">
        <v>34</v>
      </c>
      <c r="E329" s="17" t="s">
        <v>35</v>
      </c>
      <c r="F329" s="18">
        <v>0.36399999999999999</v>
      </c>
      <c r="G329" s="17" t="str">
        <f>IF(COUNTIFS('Question-Article-Match'!$A:$A,A329,'Question-Article-Match'!$C:$C,C329,'Question-Article-Match'!$F:$F,"direct match")&gt;0,"direct match",IF(COUNTIFS('Question-Article-Match'!$A:$A,A329,'Question-Article-Match'!$C:$C,C329,'Question-Article-Match'!$F:$F,"indirect match")&gt;0,"indirect match","no match"))</f>
        <v>no match</v>
      </c>
      <c r="H329" s="17">
        <f t="shared" si="23"/>
        <v>0</v>
      </c>
      <c r="I329" s="17">
        <f t="shared" si="24"/>
        <v>1</v>
      </c>
      <c r="J329" s="17" t="str">
        <f t="shared" si="25"/>
        <v>FP</v>
      </c>
    </row>
    <row r="330" spans="1:10">
      <c r="A330" s="17" t="s">
        <v>44</v>
      </c>
      <c r="B330" s="17" t="s">
        <v>45</v>
      </c>
      <c r="C330" s="17">
        <v>14</v>
      </c>
      <c r="D330" s="17" t="s">
        <v>16</v>
      </c>
      <c r="E330" s="17" t="s">
        <v>17</v>
      </c>
      <c r="F330" s="18">
        <v>0.496</v>
      </c>
      <c r="G330" s="17" t="str">
        <f>IF(COUNTIFS('Question-Article-Match'!$A:$A,A330,'Question-Article-Match'!$C:$C,C330,'Question-Article-Match'!$F:$F,"direct match")&gt;0,"direct match",IF(COUNTIFS('Question-Article-Match'!$A:$A,A330,'Question-Article-Match'!$C:$C,C330,'Question-Article-Match'!$F:$F,"indirect match")&gt;0,"indirect match","no match"))</f>
        <v>indirect match</v>
      </c>
      <c r="H330" s="17">
        <f t="shared" si="23"/>
        <v>1</v>
      </c>
      <c r="I330" s="17">
        <f t="shared" si="24"/>
        <v>1</v>
      </c>
      <c r="J330" s="17" t="str">
        <f t="shared" si="25"/>
        <v>TP</v>
      </c>
    </row>
    <row r="331" spans="1:10">
      <c r="A331" s="17" t="s">
        <v>44</v>
      </c>
      <c r="B331" s="17" t="s">
        <v>45</v>
      </c>
      <c r="C331" s="17">
        <v>15</v>
      </c>
      <c r="D331" s="17" t="s">
        <v>42</v>
      </c>
      <c r="E331" s="17" t="s">
        <v>43</v>
      </c>
      <c r="F331" s="18">
        <v>0.2001</v>
      </c>
      <c r="G331" s="17" t="str">
        <f>IF(COUNTIFS('Question-Article-Match'!$A:$A,A331,'Question-Article-Match'!$C:$C,C331,'Question-Article-Match'!$F:$F,"direct match")&gt;0,"direct match",IF(COUNTIFS('Question-Article-Match'!$A:$A,A331,'Question-Article-Match'!$C:$C,C331,'Question-Article-Match'!$F:$F,"indirect match")&gt;0,"indirect match","no match"))</f>
        <v>no match</v>
      </c>
      <c r="H331" s="17">
        <f t="shared" si="23"/>
        <v>0</v>
      </c>
      <c r="I331" s="17">
        <f t="shared" si="24"/>
        <v>0</v>
      </c>
      <c r="J331" s="17" t="str">
        <f t="shared" si="25"/>
        <v>TN</v>
      </c>
    </row>
    <row r="332" spans="1:10">
      <c r="A332" s="17" t="s">
        <v>44</v>
      </c>
      <c r="B332" s="17" t="s">
        <v>45</v>
      </c>
      <c r="C332" s="17">
        <v>16</v>
      </c>
      <c r="D332" s="17" t="s">
        <v>12</v>
      </c>
      <c r="E332" s="17" t="s">
        <v>13</v>
      </c>
      <c r="F332" s="18">
        <v>0.45050000000000001</v>
      </c>
      <c r="G332" s="17" t="str">
        <f>IF(COUNTIFS('Question-Article-Match'!$A:$A,A332,'Question-Article-Match'!$C:$C,C332,'Question-Article-Match'!$F:$F,"direct match")&gt;0,"direct match",IF(COUNTIFS('Question-Article-Match'!$A:$A,A332,'Question-Article-Match'!$C:$C,C332,'Question-Article-Match'!$F:$F,"indirect match")&gt;0,"indirect match","no match"))</f>
        <v>no match</v>
      </c>
      <c r="H332" s="17">
        <f t="shared" si="23"/>
        <v>0</v>
      </c>
      <c r="I332" s="17">
        <f t="shared" si="24"/>
        <v>1</v>
      </c>
      <c r="J332" s="17" t="str">
        <f t="shared" si="25"/>
        <v>FP</v>
      </c>
    </row>
    <row r="333" spans="1:10">
      <c r="A333" s="17" t="s">
        <v>44</v>
      </c>
      <c r="B333" s="17" t="s">
        <v>45</v>
      </c>
      <c r="C333" s="17">
        <v>17</v>
      </c>
      <c r="D333" s="17" t="s">
        <v>108</v>
      </c>
      <c r="E333" s="17" t="s">
        <v>109</v>
      </c>
      <c r="F333" s="18">
        <v>0.2303</v>
      </c>
      <c r="G333" s="17" t="str">
        <f>IF(COUNTIFS('Question-Article-Match'!$A:$A,A333,'Question-Article-Match'!$C:$C,C333,'Question-Article-Match'!$F:$F,"direct match")&gt;0,"direct match",IF(COUNTIFS('Question-Article-Match'!$A:$A,A333,'Question-Article-Match'!$C:$C,C333,'Question-Article-Match'!$F:$F,"indirect match")&gt;0,"indirect match","no match"))</f>
        <v>no match</v>
      </c>
      <c r="H333" s="17">
        <f t="shared" si="23"/>
        <v>0</v>
      </c>
      <c r="I333" s="17">
        <f t="shared" si="24"/>
        <v>0</v>
      </c>
      <c r="J333" s="17" t="str">
        <f t="shared" si="25"/>
        <v>TN</v>
      </c>
    </row>
    <row r="334" spans="1:10">
      <c r="A334" s="17" t="s">
        <v>44</v>
      </c>
      <c r="B334" s="17" t="s">
        <v>45</v>
      </c>
      <c r="C334" s="17">
        <v>18</v>
      </c>
      <c r="D334" s="17" t="s">
        <v>24</v>
      </c>
      <c r="E334" s="17" t="s">
        <v>25</v>
      </c>
      <c r="F334" s="18">
        <v>0.37540000000000001</v>
      </c>
      <c r="G334" s="17" t="str">
        <f>IF(COUNTIFS('Question-Article-Match'!$A:$A,A334,'Question-Article-Match'!$C:$C,C334,'Question-Article-Match'!$F:$F,"direct match")&gt;0,"direct match",IF(COUNTIFS('Question-Article-Match'!$A:$A,A334,'Question-Article-Match'!$C:$C,C334,'Question-Article-Match'!$F:$F,"indirect match")&gt;0,"indirect match","no match"))</f>
        <v>indirect match</v>
      </c>
      <c r="H334" s="17">
        <f t="shared" si="23"/>
        <v>1</v>
      </c>
      <c r="I334" s="17">
        <f t="shared" si="24"/>
        <v>1</v>
      </c>
      <c r="J334" s="17" t="str">
        <f t="shared" si="25"/>
        <v>TP</v>
      </c>
    </row>
    <row r="335" spans="1:10">
      <c r="A335" s="17" t="s">
        <v>44</v>
      </c>
      <c r="B335" s="17" t="s">
        <v>45</v>
      </c>
      <c r="C335" s="17">
        <v>19</v>
      </c>
      <c r="D335" s="17" t="s">
        <v>14</v>
      </c>
      <c r="E335" s="17" t="s">
        <v>15</v>
      </c>
      <c r="F335" s="18">
        <v>0.44579999999999997</v>
      </c>
      <c r="G335" s="17" t="str">
        <f>IF(COUNTIFS('Question-Article-Match'!$A:$A,A335,'Question-Article-Match'!$C:$C,C335,'Question-Article-Match'!$F:$F,"direct match")&gt;0,"direct match",IF(COUNTIFS('Question-Article-Match'!$A:$A,A335,'Question-Article-Match'!$C:$C,C335,'Question-Article-Match'!$F:$F,"indirect match")&gt;0,"indirect match","no match"))</f>
        <v>no match</v>
      </c>
      <c r="H335" s="17">
        <f t="shared" si="23"/>
        <v>0</v>
      </c>
      <c r="I335" s="17">
        <f t="shared" si="24"/>
        <v>1</v>
      </c>
      <c r="J335" s="17" t="str">
        <f t="shared" si="25"/>
        <v>FP</v>
      </c>
    </row>
    <row r="336" spans="1:10">
      <c r="A336" s="17" t="s">
        <v>44</v>
      </c>
      <c r="B336" s="17" t="s">
        <v>45</v>
      </c>
      <c r="C336" s="17">
        <v>20</v>
      </c>
      <c r="D336" s="17" t="s">
        <v>113</v>
      </c>
      <c r="E336" s="17" t="s">
        <v>114</v>
      </c>
      <c r="F336" s="18">
        <v>0.2374</v>
      </c>
      <c r="G336" s="17" t="str">
        <f>IF(COUNTIFS('Question-Article-Match'!$A:$A,A336,'Question-Article-Match'!$C:$C,C336,'Question-Article-Match'!$F:$F,"direct match")&gt;0,"direct match",IF(COUNTIFS('Question-Article-Match'!$A:$A,A336,'Question-Article-Match'!$C:$C,C336,'Question-Article-Match'!$F:$F,"indirect match")&gt;0,"indirect match","no match"))</f>
        <v>no match</v>
      </c>
      <c r="H336" s="17">
        <f t="shared" si="23"/>
        <v>0</v>
      </c>
      <c r="I336" s="17">
        <f t="shared" si="24"/>
        <v>0</v>
      </c>
      <c r="J336" s="17" t="str">
        <f t="shared" si="25"/>
        <v>TN</v>
      </c>
    </row>
    <row r="337" spans="1:10">
      <c r="A337" s="17" t="s">
        <v>44</v>
      </c>
      <c r="B337" s="17" t="s">
        <v>45</v>
      </c>
      <c r="C337" s="17">
        <v>21</v>
      </c>
      <c r="D337" s="17" t="s">
        <v>46</v>
      </c>
      <c r="E337" s="17" t="s">
        <v>47</v>
      </c>
      <c r="F337" s="18">
        <v>0.34039999999999998</v>
      </c>
      <c r="G337" s="17" t="str">
        <f>IF(COUNTIFS('Question-Article-Match'!$A:$A,A337,'Question-Article-Match'!$C:$C,C337,'Question-Article-Match'!$F:$F,"direct match")&gt;0,"direct match",IF(COUNTIFS('Question-Article-Match'!$A:$A,A337,'Question-Article-Match'!$C:$C,C337,'Question-Article-Match'!$F:$F,"indirect match")&gt;0,"indirect match","no match"))</f>
        <v>no match</v>
      </c>
      <c r="H337" s="17">
        <f t="shared" si="23"/>
        <v>0</v>
      </c>
      <c r="I337" s="17">
        <f t="shared" si="24"/>
        <v>0</v>
      </c>
      <c r="J337" s="17" t="str">
        <f t="shared" si="25"/>
        <v>TN</v>
      </c>
    </row>
  </sheetData>
  <autoFilter ref="A1:J337" xr:uid="{00000000-0009-0000-0000-000005000000}"/>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1"/>
  <sheetViews>
    <sheetView tabSelected="1" topLeftCell="A19" workbookViewId="0">
      <selection activeCell="C32" sqref="C32:C41"/>
    </sheetView>
  </sheetViews>
  <sheetFormatPr defaultRowHeight="14"/>
  <cols>
    <col min="1" max="1" width="12.9140625" style="24" customWidth="1"/>
    <col min="2" max="2" width="41.6640625" style="24" customWidth="1"/>
    <col min="3" max="3" width="8" style="24" customWidth="1"/>
    <col min="4" max="4" width="27.75" style="24" customWidth="1"/>
    <col min="5" max="5" width="71.75" style="24" customWidth="1"/>
    <col min="6" max="6" width="16.25" style="24" customWidth="1"/>
    <col min="7" max="7" width="15.6640625" style="24" customWidth="1"/>
    <col min="8" max="8" width="17" style="24" customWidth="1"/>
  </cols>
  <sheetData>
    <row r="1" spans="1:8">
      <c r="A1" s="12" t="s">
        <v>0</v>
      </c>
      <c r="B1" s="12" t="s">
        <v>1</v>
      </c>
      <c r="C1" s="12" t="s">
        <v>2</v>
      </c>
      <c r="D1" s="12" t="s">
        <v>3</v>
      </c>
      <c r="E1" s="12" t="s">
        <v>4</v>
      </c>
      <c r="F1" s="12" t="s">
        <v>5</v>
      </c>
      <c r="G1" s="12" t="s">
        <v>6</v>
      </c>
      <c r="H1" s="12" t="s">
        <v>7</v>
      </c>
    </row>
    <row r="2" spans="1:8" ht="28" customHeight="1">
      <c r="A2" s="25" t="s">
        <v>8</v>
      </c>
      <c r="B2" s="25" t="s">
        <v>9</v>
      </c>
      <c r="C2" s="25">
        <v>1</v>
      </c>
      <c r="D2" s="25" t="s">
        <v>10</v>
      </c>
      <c r="E2" s="25" t="s">
        <v>11</v>
      </c>
      <c r="F2" s="26">
        <v>0.61639999999999995</v>
      </c>
      <c r="G2" s="25" t="str">
        <f>IF(COUNTIFS('Question-Article-Match'!$A:$A,A2,'Question-Article-Match'!$C:$C,C2,'Question-Article-Match'!$F:$F,"direct match")&gt;0,"direct match",IF(COUNTIFS('Question-Article-Match'!$A:$A,A2,'Question-Article-Match'!$C:$C,C2,'Question-Article-Match'!$F:$F,"indirect match")&gt;0,"indirect match","no match"))</f>
        <v>no match</v>
      </c>
      <c r="H2" s="14"/>
    </row>
    <row r="3" spans="1:8" ht="28" customHeight="1">
      <c r="A3" s="25" t="s">
        <v>8</v>
      </c>
      <c r="B3" s="25" t="s">
        <v>9</v>
      </c>
      <c r="C3" s="25">
        <v>2</v>
      </c>
      <c r="D3" s="25" t="s">
        <v>12</v>
      </c>
      <c r="E3" s="25" t="s">
        <v>13</v>
      </c>
      <c r="F3" s="26">
        <v>0.39879999999999999</v>
      </c>
      <c r="G3" s="25" t="str">
        <f>IF(COUNTIFS('Question-Article-Match'!$A:$A,A3,'Question-Article-Match'!$C:$C,C3,'Question-Article-Match'!$F:$F,"direct match")&gt;0,"direct match",IF(COUNTIFS('Question-Article-Match'!$A:$A,A3,'Question-Article-Match'!$C:$C,C3,'Question-Article-Match'!$F:$F,"indirect match")&gt;0,"indirect match","no match"))</f>
        <v>no match</v>
      </c>
      <c r="H3" s="14"/>
    </row>
    <row r="4" spans="1:8" ht="28" customHeight="1">
      <c r="A4" s="25" t="s">
        <v>8</v>
      </c>
      <c r="B4" s="25" t="s">
        <v>9</v>
      </c>
      <c r="C4" s="25">
        <v>3</v>
      </c>
      <c r="D4" s="25" t="s">
        <v>14</v>
      </c>
      <c r="E4" s="25" t="s">
        <v>15</v>
      </c>
      <c r="F4" s="26">
        <v>0.36780000000000002</v>
      </c>
      <c r="G4" s="25" t="str">
        <f>IF(COUNTIFS('Question-Article-Match'!$A:$A,A4,'Question-Article-Match'!$C:$C,C4,'Question-Article-Match'!$F:$F,"direct match")&gt;0,"direct match",IF(COUNTIFS('Question-Article-Match'!$A:$A,A4,'Question-Article-Match'!$C:$C,C4,'Question-Article-Match'!$F:$F,"indirect match")&gt;0,"indirect match","no match"))</f>
        <v>no match</v>
      </c>
      <c r="H4" s="14"/>
    </row>
    <row r="5" spans="1:8" ht="28" customHeight="1">
      <c r="A5" s="25" t="s">
        <v>8</v>
      </c>
      <c r="B5" s="25" t="s">
        <v>9</v>
      </c>
      <c r="C5" s="25">
        <v>4</v>
      </c>
      <c r="D5" s="25" t="s">
        <v>16</v>
      </c>
      <c r="E5" s="25" t="s">
        <v>17</v>
      </c>
      <c r="F5" s="26">
        <v>0.33960000000000001</v>
      </c>
      <c r="G5" s="25" t="str">
        <f>IF(COUNTIFS('Question-Article-Match'!$A:$A,A5,'Question-Article-Match'!$C:$C,C5,'Question-Article-Match'!$F:$F,"direct match")&gt;0,"direct match",IF(COUNTIFS('Question-Article-Match'!$A:$A,A5,'Question-Article-Match'!$C:$C,C5,'Question-Article-Match'!$F:$F,"indirect match")&gt;0,"indirect match","no match"))</f>
        <v>no match</v>
      </c>
      <c r="H5" s="14"/>
    </row>
    <row r="6" spans="1:8" ht="28" customHeight="1">
      <c r="A6" s="25" t="s">
        <v>8</v>
      </c>
      <c r="B6" s="25" t="s">
        <v>9</v>
      </c>
      <c r="C6" s="25">
        <v>5</v>
      </c>
      <c r="D6" s="25" t="s">
        <v>18</v>
      </c>
      <c r="E6" s="25" t="s">
        <v>19</v>
      </c>
      <c r="F6" s="26">
        <v>0.31219999999999998</v>
      </c>
      <c r="G6" s="25" t="str">
        <f>IF(COUNTIFS('Question-Article-Match'!$A:$A,A6,'Question-Article-Match'!$C:$C,C6,'Question-Article-Match'!$F:$F,"direct match")&gt;0,"direct match",IF(COUNTIFS('Question-Article-Match'!$A:$A,A6,'Question-Article-Match'!$C:$C,C6,'Question-Article-Match'!$F:$F,"indirect match")&gt;0,"indirect match","no match"))</f>
        <v>no match</v>
      </c>
      <c r="H6" s="14"/>
    </row>
    <row r="7" spans="1:8" ht="28" customHeight="1">
      <c r="A7" s="25" t="s">
        <v>8</v>
      </c>
      <c r="B7" s="25" t="s">
        <v>9</v>
      </c>
      <c r="C7" s="25">
        <v>6</v>
      </c>
      <c r="D7" s="25" t="s">
        <v>20</v>
      </c>
      <c r="E7" s="25" t="s">
        <v>21</v>
      </c>
      <c r="F7" s="26">
        <v>0.30380000000000001</v>
      </c>
      <c r="G7" s="25" t="str">
        <f>IF(COUNTIFS('Question-Article-Match'!$A:$A,A7,'Question-Article-Match'!$C:$C,C7,'Question-Article-Match'!$F:$F,"direct match")&gt;0,"direct match",IF(COUNTIFS('Question-Article-Match'!$A:$A,A7,'Question-Article-Match'!$C:$C,C7,'Question-Article-Match'!$F:$F,"indirect match")&gt;0,"indirect match","no match"))</f>
        <v>no match</v>
      </c>
      <c r="H7" s="14"/>
    </row>
    <row r="8" spans="1:8" ht="28" customHeight="1">
      <c r="A8" s="25" t="s">
        <v>8</v>
      </c>
      <c r="B8" s="25" t="s">
        <v>9</v>
      </c>
      <c r="C8" s="25">
        <v>7</v>
      </c>
      <c r="D8" s="25" t="s">
        <v>22</v>
      </c>
      <c r="E8" s="25" t="s">
        <v>23</v>
      </c>
      <c r="F8" s="26">
        <v>0.28870000000000001</v>
      </c>
      <c r="G8" s="25" t="str">
        <f>IF(COUNTIFS('Question-Article-Match'!$A:$A,A8,'Question-Article-Match'!$C:$C,C8,'Question-Article-Match'!$F:$F,"direct match")&gt;0,"direct match",IF(COUNTIFS('Question-Article-Match'!$A:$A,A8,'Question-Article-Match'!$C:$C,C8,'Question-Article-Match'!$F:$F,"indirect match")&gt;0,"indirect match","no match"))</f>
        <v>no match</v>
      </c>
      <c r="H8" s="14"/>
    </row>
    <row r="9" spans="1:8" ht="28" customHeight="1">
      <c r="A9" s="25" t="s">
        <v>8</v>
      </c>
      <c r="B9" s="25" t="s">
        <v>9</v>
      </c>
      <c r="C9" s="25">
        <v>8</v>
      </c>
      <c r="D9" s="25" t="s">
        <v>24</v>
      </c>
      <c r="E9" s="25" t="s">
        <v>25</v>
      </c>
      <c r="F9" s="26">
        <v>0.28870000000000001</v>
      </c>
      <c r="G9" s="25" t="str">
        <f>IF(COUNTIFS('Question-Article-Match'!$A:$A,A9,'Question-Article-Match'!$C:$C,C9,'Question-Article-Match'!$F:$F,"direct match")&gt;0,"direct match",IF(COUNTIFS('Question-Article-Match'!$A:$A,A9,'Question-Article-Match'!$C:$C,C9,'Question-Article-Match'!$F:$F,"indirect match")&gt;0,"indirect match","no match"))</f>
        <v>no match</v>
      </c>
      <c r="H9" s="14"/>
    </row>
    <row r="10" spans="1:8" ht="28" customHeight="1">
      <c r="A10" s="25" t="s">
        <v>8</v>
      </c>
      <c r="B10" s="25" t="s">
        <v>9</v>
      </c>
      <c r="C10" s="25">
        <v>9</v>
      </c>
      <c r="D10" s="25" t="s">
        <v>26</v>
      </c>
      <c r="E10" s="25" t="s">
        <v>27</v>
      </c>
      <c r="F10" s="26">
        <v>0.2762</v>
      </c>
      <c r="G10" s="25" t="str">
        <f>IF(COUNTIFS('Question-Article-Match'!$A:$A,A10,'Question-Article-Match'!$C:$C,C10,'Question-Article-Match'!$F:$F,"direct match")&gt;0,"direct match",IF(COUNTIFS('Question-Article-Match'!$A:$A,A10,'Question-Article-Match'!$C:$C,C10,'Question-Article-Match'!$F:$F,"indirect match")&gt;0,"indirect match","no match"))</f>
        <v>direct match</v>
      </c>
      <c r="H10" s="14"/>
    </row>
    <row r="11" spans="1:8" ht="28" customHeight="1">
      <c r="A11" s="25" t="s">
        <v>8</v>
      </c>
      <c r="B11" s="25" t="s">
        <v>9</v>
      </c>
      <c r="C11" s="25">
        <v>10</v>
      </c>
      <c r="D11" s="25" t="s">
        <v>28</v>
      </c>
      <c r="E11" s="25" t="s">
        <v>29</v>
      </c>
      <c r="F11" s="26">
        <v>0.27010000000000001</v>
      </c>
      <c r="G11" s="25" t="str">
        <f>IF(COUNTIFS('Question-Article-Match'!$A:$A,A11,'Question-Article-Match'!$C:$C,C11,'Question-Article-Match'!$F:$F,"direct match")&gt;0,"direct match",IF(COUNTIFS('Question-Article-Match'!$A:$A,A11,'Question-Article-Match'!$C:$C,C11,'Question-Article-Match'!$F:$F,"indirect match")&gt;0,"indirect match","no match"))</f>
        <v>no match</v>
      </c>
      <c r="H11" s="14"/>
    </row>
    <row r="12" spans="1:8" ht="28" customHeight="1">
      <c r="A12" s="25" t="s">
        <v>30</v>
      </c>
      <c r="B12" s="25" t="s">
        <v>31</v>
      </c>
      <c r="C12" s="25">
        <v>1</v>
      </c>
      <c r="D12" s="25" t="s">
        <v>12</v>
      </c>
      <c r="E12" s="25" t="s">
        <v>13</v>
      </c>
      <c r="F12" s="26">
        <v>0.74060000000000004</v>
      </c>
      <c r="G12" s="25" t="str">
        <f>IF(COUNTIFS('Question-Article-Match'!$A:$A,A12,'Question-Article-Match'!$C:$C,C12,'Question-Article-Match'!$F:$F,"direct match")&gt;0,"direct match",IF(COUNTIFS('Question-Article-Match'!$A:$A,A12,'Question-Article-Match'!$C:$C,C12,'Question-Article-Match'!$F:$F,"indirect match")&gt;0,"indirect match","no match"))</f>
        <v>no match</v>
      </c>
      <c r="H12" s="14"/>
    </row>
    <row r="13" spans="1:8" ht="28" customHeight="1">
      <c r="A13" s="25" t="s">
        <v>30</v>
      </c>
      <c r="B13" s="25" t="s">
        <v>31</v>
      </c>
      <c r="C13" s="25">
        <v>2</v>
      </c>
      <c r="D13" s="25" t="s">
        <v>14</v>
      </c>
      <c r="E13" s="25" t="s">
        <v>15</v>
      </c>
      <c r="F13" s="26">
        <v>0.42570000000000002</v>
      </c>
      <c r="G13" s="25" t="str">
        <f>IF(COUNTIFS('Question-Article-Match'!$A:$A,A13,'Question-Article-Match'!$C:$C,C13,'Question-Article-Match'!$F:$F,"direct match")&gt;0,"direct match",IF(COUNTIFS('Question-Article-Match'!$A:$A,A13,'Question-Article-Match'!$C:$C,C13,'Question-Article-Match'!$F:$F,"indirect match")&gt;0,"indirect match","no match"))</f>
        <v>no match</v>
      </c>
      <c r="H13" s="14"/>
    </row>
    <row r="14" spans="1:8" ht="28" customHeight="1">
      <c r="A14" s="25" t="s">
        <v>30</v>
      </c>
      <c r="B14" s="25" t="s">
        <v>31</v>
      </c>
      <c r="C14" s="25">
        <v>3</v>
      </c>
      <c r="D14" s="25" t="s">
        <v>26</v>
      </c>
      <c r="E14" s="25" t="s">
        <v>27</v>
      </c>
      <c r="F14" s="26">
        <v>0.36159999999999998</v>
      </c>
      <c r="G14" s="25" t="str">
        <f>IF(COUNTIFS('Question-Article-Match'!$A:$A,A14,'Question-Article-Match'!$C:$C,C14,'Question-Article-Match'!$F:$F,"direct match")&gt;0,"direct match",IF(COUNTIFS('Question-Article-Match'!$A:$A,A14,'Question-Article-Match'!$C:$C,C14,'Question-Article-Match'!$F:$F,"indirect match")&gt;0,"indirect match","no match"))</f>
        <v>no match</v>
      </c>
      <c r="H14" s="14"/>
    </row>
    <row r="15" spans="1:8" ht="28" customHeight="1">
      <c r="A15" s="25" t="s">
        <v>30</v>
      </c>
      <c r="B15" s="25" t="s">
        <v>31</v>
      </c>
      <c r="C15" s="25">
        <v>4</v>
      </c>
      <c r="D15" s="25" t="s">
        <v>32</v>
      </c>
      <c r="E15" s="25" t="s">
        <v>33</v>
      </c>
      <c r="F15" s="26">
        <v>0.35249999999999998</v>
      </c>
      <c r="G15" s="25" t="str">
        <f>IF(COUNTIFS('Question-Article-Match'!$A:$A,A15,'Question-Article-Match'!$C:$C,C15,'Question-Article-Match'!$F:$F,"direct match")&gt;0,"direct match",IF(COUNTIFS('Question-Article-Match'!$A:$A,A15,'Question-Article-Match'!$C:$C,C15,'Question-Article-Match'!$F:$F,"indirect match")&gt;0,"indirect match","no match"))</f>
        <v>no match</v>
      </c>
      <c r="H15" s="14"/>
    </row>
    <row r="16" spans="1:8" ht="28" customHeight="1">
      <c r="A16" s="25" t="s">
        <v>30</v>
      </c>
      <c r="B16" s="25" t="s">
        <v>31</v>
      </c>
      <c r="C16" s="25">
        <v>5</v>
      </c>
      <c r="D16" s="25" t="s">
        <v>16</v>
      </c>
      <c r="E16" s="25" t="s">
        <v>17</v>
      </c>
      <c r="F16" s="26">
        <v>0.31519999999999998</v>
      </c>
      <c r="G16" s="25" t="str">
        <f>IF(COUNTIFS('Question-Article-Match'!$A:$A,A16,'Question-Article-Match'!$C:$C,C16,'Question-Article-Match'!$F:$F,"direct match")&gt;0,"direct match",IF(COUNTIFS('Question-Article-Match'!$A:$A,A16,'Question-Article-Match'!$C:$C,C16,'Question-Article-Match'!$F:$F,"indirect match")&gt;0,"indirect match","no match"))</f>
        <v>no match</v>
      </c>
      <c r="H16" s="14"/>
    </row>
    <row r="17" spans="1:8" ht="28" customHeight="1">
      <c r="A17" s="25" t="s">
        <v>30</v>
      </c>
      <c r="B17" s="25" t="s">
        <v>31</v>
      </c>
      <c r="C17" s="25">
        <v>6</v>
      </c>
      <c r="D17" s="25" t="s">
        <v>34</v>
      </c>
      <c r="E17" s="25" t="s">
        <v>35</v>
      </c>
      <c r="F17" s="26">
        <v>0.29709999999999998</v>
      </c>
      <c r="G17" s="25" t="str">
        <f>IF(COUNTIFS('Question-Article-Match'!$A:$A,A17,'Question-Article-Match'!$C:$C,C17,'Question-Article-Match'!$F:$F,"direct match")&gt;0,"direct match",IF(COUNTIFS('Question-Article-Match'!$A:$A,A17,'Question-Article-Match'!$C:$C,C17,'Question-Article-Match'!$F:$F,"indirect match")&gt;0,"indirect match","no match"))</f>
        <v>no match</v>
      </c>
      <c r="H17" s="14"/>
    </row>
    <row r="18" spans="1:8" ht="28" customHeight="1">
      <c r="A18" s="25" t="s">
        <v>30</v>
      </c>
      <c r="B18" s="25" t="s">
        <v>31</v>
      </c>
      <c r="C18" s="25">
        <v>7</v>
      </c>
      <c r="D18" s="25" t="s">
        <v>20</v>
      </c>
      <c r="E18" s="25" t="s">
        <v>21</v>
      </c>
      <c r="F18" s="26">
        <v>0.29459999999999997</v>
      </c>
      <c r="G18" s="25" t="str">
        <f>IF(COUNTIFS('Question-Article-Match'!$A:$A,A18,'Question-Article-Match'!$C:$C,C18,'Question-Article-Match'!$F:$F,"direct match")&gt;0,"direct match",IF(COUNTIFS('Question-Article-Match'!$A:$A,A18,'Question-Article-Match'!$C:$C,C18,'Question-Article-Match'!$F:$F,"indirect match")&gt;0,"indirect match","no match"))</f>
        <v>no match</v>
      </c>
      <c r="H18" s="14"/>
    </row>
    <row r="19" spans="1:8" ht="28" customHeight="1">
      <c r="A19" s="25" t="s">
        <v>30</v>
      </c>
      <c r="B19" s="25" t="s">
        <v>31</v>
      </c>
      <c r="C19" s="25">
        <v>8</v>
      </c>
      <c r="D19" s="25" t="s">
        <v>18</v>
      </c>
      <c r="E19" s="25" t="s">
        <v>19</v>
      </c>
      <c r="F19" s="26">
        <v>0.29110000000000003</v>
      </c>
      <c r="G19" s="25" t="str">
        <f>IF(COUNTIFS('Question-Article-Match'!$A:$A,A19,'Question-Article-Match'!$C:$C,C19,'Question-Article-Match'!$F:$F,"direct match")&gt;0,"direct match",IF(COUNTIFS('Question-Article-Match'!$A:$A,A19,'Question-Article-Match'!$C:$C,C19,'Question-Article-Match'!$F:$F,"indirect match")&gt;0,"indirect match","no match"))</f>
        <v>no match</v>
      </c>
      <c r="H19" s="14"/>
    </row>
    <row r="20" spans="1:8" ht="28" customHeight="1">
      <c r="A20" s="25" t="s">
        <v>30</v>
      </c>
      <c r="B20" s="25" t="s">
        <v>31</v>
      </c>
      <c r="C20" s="25">
        <v>9</v>
      </c>
      <c r="D20" s="25" t="s">
        <v>24</v>
      </c>
      <c r="E20" s="25" t="s">
        <v>25</v>
      </c>
      <c r="F20" s="26">
        <v>0.27300000000000002</v>
      </c>
      <c r="G20" s="25" t="str">
        <f>IF(COUNTIFS('Question-Article-Match'!$A:$A,A20,'Question-Article-Match'!$C:$C,C20,'Question-Article-Match'!$F:$F,"direct match")&gt;0,"direct match",IF(COUNTIFS('Question-Article-Match'!$A:$A,A20,'Question-Article-Match'!$C:$C,C20,'Question-Article-Match'!$F:$F,"indirect match")&gt;0,"indirect match","no match"))</f>
        <v>no match</v>
      </c>
      <c r="H20" s="14"/>
    </row>
    <row r="21" spans="1:8" ht="28" customHeight="1">
      <c r="A21" s="25" t="s">
        <v>30</v>
      </c>
      <c r="B21" s="25" t="s">
        <v>31</v>
      </c>
      <c r="C21" s="25">
        <v>10</v>
      </c>
      <c r="D21" s="25" t="s">
        <v>36</v>
      </c>
      <c r="E21" s="25" t="s">
        <v>37</v>
      </c>
      <c r="F21" s="26">
        <v>0.25390000000000001</v>
      </c>
      <c r="G21" s="25" t="str">
        <f>IF(COUNTIFS('Question-Article-Match'!$A:$A,A21,'Question-Article-Match'!$C:$C,C21,'Question-Article-Match'!$F:$F,"direct match")&gt;0,"direct match",IF(COUNTIFS('Question-Article-Match'!$A:$A,A21,'Question-Article-Match'!$C:$C,C21,'Question-Article-Match'!$F:$F,"indirect match")&gt;0,"indirect match","no match"))</f>
        <v>no match</v>
      </c>
      <c r="H21" s="14"/>
    </row>
    <row r="22" spans="1:8" ht="28" customHeight="1">
      <c r="A22" s="25" t="s">
        <v>38</v>
      </c>
      <c r="B22" s="25" t="s">
        <v>39</v>
      </c>
      <c r="C22" s="25">
        <v>1</v>
      </c>
      <c r="D22" s="25" t="s">
        <v>24</v>
      </c>
      <c r="E22" s="25" t="s">
        <v>25</v>
      </c>
      <c r="F22" s="26">
        <v>0.52539999999999998</v>
      </c>
      <c r="G22" s="25" t="str">
        <f>IF(COUNTIFS('Question-Article-Match'!$A:$A,A22,'Question-Article-Match'!$C:$C,C22,'Question-Article-Match'!$F:$F,"direct match")&gt;0,"direct match",IF(COUNTIFS('Question-Article-Match'!$A:$A,A22,'Question-Article-Match'!$C:$C,C22,'Question-Article-Match'!$F:$F,"indirect match")&gt;0,"indirect match","no match"))</f>
        <v>no match</v>
      </c>
      <c r="H22" s="14"/>
    </row>
    <row r="23" spans="1:8" ht="28" customHeight="1">
      <c r="A23" s="25" t="s">
        <v>38</v>
      </c>
      <c r="B23" s="25" t="s">
        <v>39</v>
      </c>
      <c r="C23" s="25">
        <v>2</v>
      </c>
      <c r="D23" s="25" t="s">
        <v>14</v>
      </c>
      <c r="E23" s="25" t="s">
        <v>15</v>
      </c>
      <c r="F23" s="26">
        <v>0.43580000000000002</v>
      </c>
      <c r="G23" s="25" t="str">
        <f>IF(COUNTIFS('Question-Article-Match'!$A:$A,A23,'Question-Article-Match'!$C:$C,C23,'Question-Article-Match'!$F:$F,"direct match")&gt;0,"direct match",IF(COUNTIFS('Question-Article-Match'!$A:$A,A23,'Question-Article-Match'!$C:$C,C23,'Question-Article-Match'!$F:$F,"indirect match")&gt;0,"indirect match","no match"))</f>
        <v>no match</v>
      </c>
      <c r="H23" s="14"/>
    </row>
    <row r="24" spans="1:8" ht="28" customHeight="1">
      <c r="A24" s="25" t="s">
        <v>38</v>
      </c>
      <c r="B24" s="25" t="s">
        <v>39</v>
      </c>
      <c r="C24" s="25">
        <v>3</v>
      </c>
      <c r="D24" s="25" t="s">
        <v>16</v>
      </c>
      <c r="E24" s="25" t="s">
        <v>17</v>
      </c>
      <c r="F24" s="26">
        <v>0.38990000000000002</v>
      </c>
      <c r="G24" s="25" t="str">
        <f>IF(COUNTIFS('Question-Article-Match'!$A:$A,A24,'Question-Article-Match'!$C:$C,C24,'Question-Article-Match'!$F:$F,"direct match")&gt;0,"direct match",IF(COUNTIFS('Question-Article-Match'!$A:$A,A24,'Question-Article-Match'!$C:$C,C24,'Question-Article-Match'!$F:$F,"indirect match")&gt;0,"indirect match","no match"))</f>
        <v>indirect match</v>
      </c>
      <c r="H24" s="14"/>
    </row>
    <row r="25" spans="1:8" ht="28" customHeight="1">
      <c r="A25" s="25" t="s">
        <v>38</v>
      </c>
      <c r="B25" s="25" t="s">
        <v>39</v>
      </c>
      <c r="C25" s="25">
        <v>4</v>
      </c>
      <c r="D25" s="25" t="s">
        <v>12</v>
      </c>
      <c r="E25" s="25" t="s">
        <v>13</v>
      </c>
      <c r="F25" s="26">
        <v>0.37290000000000001</v>
      </c>
      <c r="G25" s="25" t="str">
        <f>IF(COUNTIFS('Question-Article-Match'!$A:$A,A25,'Question-Article-Match'!$C:$C,C25,'Question-Article-Match'!$F:$F,"direct match")&gt;0,"direct match",IF(COUNTIFS('Question-Article-Match'!$A:$A,A25,'Question-Article-Match'!$C:$C,C25,'Question-Article-Match'!$F:$F,"indirect match")&gt;0,"indirect match","no match"))</f>
        <v>no match</v>
      </c>
      <c r="H25" s="14"/>
    </row>
    <row r="26" spans="1:8" ht="28" customHeight="1">
      <c r="A26" s="25" t="s">
        <v>38</v>
      </c>
      <c r="B26" s="25" t="s">
        <v>39</v>
      </c>
      <c r="C26" s="25">
        <v>5</v>
      </c>
      <c r="D26" s="25" t="s">
        <v>26</v>
      </c>
      <c r="E26" s="25" t="s">
        <v>27</v>
      </c>
      <c r="F26" s="26">
        <v>0.33639999999999998</v>
      </c>
      <c r="G26" s="25" t="str">
        <f>IF(COUNTIFS('Question-Article-Match'!$A:$A,A26,'Question-Article-Match'!$C:$C,C26,'Question-Article-Match'!$F:$F,"direct match")&gt;0,"direct match",IF(COUNTIFS('Question-Article-Match'!$A:$A,A26,'Question-Article-Match'!$C:$C,C26,'Question-Article-Match'!$F:$F,"indirect match")&gt;0,"indirect match","no match"))</f>
        <v>no match</v>
      </c>
      <c r="H26" s="14"/>
    </row>
    <row r="27" spans="1:8" ht="28" customHeight="1">
      <c r="A27" s="25" t="s">
        <v>38</v>
      </c>
      <c r="B27" s="25" t="s">
        <v>39</v>
      </c>
      <c r="C27" s="25">
        <v>6</v>
      </c>
      <c r="D27" s="25" t="s">
        <v>40</v>
      </c>
      <c r="E27" s="25" t="s">
        <v>41</v>
      </c>
      <c r="F27" s="26">
        <v>0.26850000000000002</v>
      </c>
      <c r="G27" s="25" t="str">
        <f>IF(COUNTIFS('Question-Article-Match'!$A:$A,A27,'Question-Article-Match'!$C:$C,C27,'Question-Article-Match'!$F:$F,"direct match")&gt;0,"direct match",IF(COUNTIFS('Question-Article-Match'!$A:$A,A27,'Question-Article-Match'!$C:$C,C27,'Question-Article-Match'!$F:$F,"indirect match")&gt;0,"indirect match","no match"))</f>
        <v>no match</v>
      </c>
      <c r="H27" s="14"/>
    </row>
    <row r="28" spans="1:8" ht="28" customHeight="1">
      <c r="A28" s="25" t="s">
        <v>38</v>
      </c>
      <c r="B28" s="25" t="s">
        <v>39</v>
      </c>
      <c r="C28" s="25">
        <v>7</v>
      </c>
      <c r="D28" s="25" t="s">
        <v>42</v>
      </c>
      <c r="E28" s="25" t="s">
        <v>43</v>
      </c>
      <c r="F28" s="26">
        <v>0.2611</v>
      </c>
      <c r="G28" s="25" t="str">
        <f>IF(COUNTIFS('Question-Article-Match'!$A:$A,A28,'Question-Article-Match'!$C:$C,C28,'Question-Article-Match'!$F:$F,"direct match")&gt;0,"direct match",IF(COUNTIFS('Question-Article-Match'!$A:$A,A28,'Question-Article-Match'!$C:$C,C28,'Question-Article-Match'!$F:$F,"indirect match")&gt;0,"indirect match","no match"))</f>
        <v>no match</v>
      </c>
      <c r="H28" s="14"/>
    </row>
    <row r="29" spans="1:8" ht="28" customHeight="1">
      <c r="A29" s="25" t="s">
        <v>38</v>
      </c>
      <c r="B29" s="25" t="s">
        <v>39</v>
      </c>
      <c r="C29" s="25">
        <v>8</v>
      </c>
      <c r="D29" s="25" t="s">
        <v>36</v>
      </c>
      <c r="E29" s="25" t="s">
        <v>37</v>
      </c>
      <c r="F29" s="26">
        <v>0.2457</v>
      </c>
      <c r="G29" s="25" t="str">
        <f>IF(COUNTIFS('Question-Article-Match'!$A:$A,A29,'Question-Article-Match'!$C:$C,C29,'Question-Article-Match'!$F:$F,"direct match")&gt;0,"direct match",IF(COUNTIFS('Question-Article-Match'!$A:$A,A29,'Question-Article-Match'!$C:$C,C29,'Question-Article-Match'!$F:$F,"indirect match")&gt;0,"indirect match","no match"))</f>
        <v>no match</v>
      </c>
      <c r="H29" s="14"/>
    </row>
    <row r="30" spans="1:8" ht="28" customHeight="1">
      <c r="A30" s="25" t="s">
        <v>38</v>
      </c>
      <c r="B30" s="25" t="s">
        <v>39</v>
      </c>
      <c r="C30" s="25">
        <v>9</v>
      </c>
      <c r="D30" s="25" t="s">
        <v>28</v>
      </c>
      <c r="E30" s="25" t="s">
        <v>29</v>
      </c>
      <c r="F30" s="26">
        <v>0.2276</v>
      </c>
      <c r="G30" s="25" t="str">
        <f>IF(COUNTIFS('Question-Article-Match'!$A:$A,A30,'Question-Article-Match'!$C:$C,C30,'Question-Article-Match'!$F:$F,"direct match")&gt;0,"direct match",IF(COUNTIFS('Question-Article-Match'!$A:$A,A30,'Question-Article-Match'!$C:$C,C30,'Question-Article-Match'!$F:$F,"indirect match")&gt;0,"indirect match","no match"))</f>
        <v>no match</v>
      </c>
      <c r="H30" s="14"/>
    </row>
    <row r="31" spans="1:8" ht="28" customHeight="1">
      <c r="A31" s="25" t="s">
        <v>38</v>
      </c>
      <c r="B31" s="25" t="s">
        <v>39</v>
      </c>
      <c r="C31" s="25">
        <v>10</v>
      </c>
      <c r="D31" s="25" t="s">
        <v>34</v>
      </c>
      <c r="E31" s="25" t="s">
        <v>35</v>
      </c>
      <c r="F31" s="26">
        <v>0.18709999999999999</v>
      </c>
      <c r="G31" s="25" t="str">
        <f>IF(COUNTIFS('Question-Article-Match'!$A:$A,A31,'Question-Article-Match'!$C:$C,C31,'Question-Article-Match'!$F:$F,"direct match")&gt;0,"direct match",IF(COUNTIFS('Question-Article-Match'!$A:$A,A31,'Question-Article-Match'!$C:$C,C31,'Question-Article-Match'!$F:$F,"indirect match")&gt;0,"indirect match","no match"))</f>
        <v>no match</v>
      </c>
      <c r="H31" s="14"/>
    </row>
    <row r="32" spans="1:8" ht="28" customHeight="1">
      <c r="A32" s="25" t="s">
        <v>44</v>
      </c>
      <c r="B32" s="25" t="s">
        <v>45</v>
      </c>
      <c r="C32" s="25">
        <v>1</v>
      </c>
      <c r="D32" s="25" t="s">
        <v>26</v>
      </c>
      <c r="E32" s="25" t="s">
        <v>27</v>
      </c>
      <c r="F32" s="26">
        <v>0.66569999999999996</v>
      </c>
      <c r="G32" s="25" t="str">
        <f>IF(COUNTIFS('Question-Article-Match'!$A:$A,A32,'Question-Article-Match'!$C:$C,C32,'Question-Article-Match'!$F:$F,"direct match")&gt;0,"direct match",IF(COUNTIFS('Question-Article-Match'!$A:$A,A32,'Question-Article-Match'!$C:$C,C32,'Question-Article-Match'!$F:$F,"indirect match")&gt;0,"indirect match","no match"))</f>
        <v>no match</v>
      </c>
      <c r="H32" s="14"/>
    </row>
    <row r="33" spans="1:8" ht="28" customHeight="1">
      <c r="A33" s="25" t="s">
        <v>44</v>
      </c>
      <c r="B33" s="25" t="s">
        <v>45</v>
      </c>
      <c r="C33" s="25">
        <v>2</v>
      </c>
      <c r="D33" s="25" t="s">
        <v>16</v>
      </c>
      <c r="E33" s="25" t="s">
        <v>17</v>
      </c>
      <c r="F33" s="26">
        <v>0.496</v>
      </c>
      <c r="G33" s="25" t="str">
        <f>IF(COUNTIFS('Question-Article-Match'!$A:$A,A33,'Question-Article-Match'!$C:$C,C33,'Question-Article-Match'!$F:$F,"direct match")&gt;0,"direct match",IF(COUNTIFS('Question-Article-Match'!$A:$A,A33,'Question-Article-Match'!$C:$C,C33,'Question-Article-Match'!$F:$F,"indirect match")&gt;0,"indirect match","no match"))</f>
        <v>no match</v>
      </c>
      <c r="H33" s="14"/>
    </row>
    <row r="34" spans="1:8" ht="28" customHeight="1">
      <c r="A34" s="25" t="s">
        <v>44</v>
      </c>
      <c r="B34" s="25" t="s">
        <v>45</v>
      </c>
      <c r="C34" s="25">
        <v>3</v>
      </c>
      <c r="D34" s="25" t="s">
        <v>12</v>
      </c>
      <c r="E34" s="25" t="s">
        <v>13</v>
      </c>
      <c r="F34" s="26">
        <v>0.45050000000000001</v>
      </c>
      <c r="G34" s="25" t="str">
        <f>IF(COUNTIFS('Question-Article-Match'!$A:$A,A34,'Question-Article-Match'!$C:$C,C34,'Question-Article-Match'!$F:$F,"direct match")&gt;0,"direct match",IF(COUNTIFS('Question-Article-Match'!$A:$A,A34,'Question-Article-Match'!$C:$C,C34,'Question-Article-Match'!$F:$F,"indirect match")&gt;0,"indirect match","no match"))</f>
        <v>direct match</v>
      </c>
      <c r="H34" s="14"/>
    </row>
    <row r="35" spans="1:8" ht="28" customHeight="1">
      <c r="A35" s="25" t="s">
        <v>44</v>
      </c>
      <c r="B35" s="25" t="s">
        <v>45</v>
      </c>
      <c r="C35" s="25">
        <v>4</v>
      </c>
      <c r="D35" s="25" t="s">
        <v>14</v>
      </c>
      <c r="E35" s="25" t="s">
        <v>15</v>
      </c>
      <c r="F35" s="26">
        <v>0.44579999999999997</v>
      </c>
      <c r="G35" s="25" t="str">
        <f>IF(COUNTIFS('Question-Article-Match'!$A:$A,A35,'Question-Article-Match'!$C:$C,C35,'Question-Article-Match'!$F:$F,"direct match")&gt;0,"direct match",IF(COUNTIFS('Question-Article-Match'!$A:$A,A35,'Question-Article-Match'!$C:$C,C35,'Question-Article-Match'!$F:$F,"indirect match")&gt;0,"indirect match","no match"))</f>
        <v>no match</v>
      </c>
      <c r="H35" s="14"/>
    </row>
    <row r="36" spans="1:8" ht="28" customHeight="1">
      <c r="A36" s="25" t="s">
        <v>44</v>
      </c>
      <c r="B36" s="25" t="s">
        <v>45</v>
      </c>
      <c r="C36" s="25">
        <v>5</v>
      </c>
      <c r="D36" s="25" t="s">
        <v>24</v>
      </c>
      <c r="E36" s="25" t="s">
        <v>25</v>
      </c>
      <c r="F36" s="26">
        <v>0.37540000000000001</v>
      </c>
      <c r="G36" s="25" t="str">
        <f>IF(COUNTIFS('Question-Article-Match'!$A:$A,A36,'Question-Article-Match'!$C:$C,C36,'Question-Article-Match'!$F:$F,"direct match")&gt;0,"direct match",IF(COUNTIFS('Question-Article-Match'!$A:$A,A36,'Question-Article-Match'!$C:$C,C36,'Question-Article-Match'!$F:$F,"indirect match")&gt;0,"indirect match","no match"))</f>
        <v>no match</v>
      </c>
      <c r="H36" s="14"/>
    </row>
    <row r="37" spans="1:8" ht="28" customHeight="1">
      <c r="A37" s="25" t="s">
        <v>44</v>
      </c>
      <c r="B37" s="25" t="s">
        <v>45</v>
      </c>
      <c r="C37" s="25">
        <v>6</v>
      </c>
      <c r="D37" s="25" t="s">
        <v>34</v>
      </c>
      <c r="E37" s="25" t="s">
        <v>35</v>
      </c>
      <c r="F37" s="26">
        <v>0.36399999999999999</v>
      </c>
      <c r="G37" s="25" t="str">
        <f>IF(COUNTIFS('Question-Article-Match'!$A:$A,A37,'Question-Article-Match'!$C:$C,C37,'Question-Article-Match'!$F:$F,"direct match")&gt;0,"direct match",IF(COUNTIFS('Question-Article-Match'!$A:$A,A37,'Question-Article-Match'!$C:$C,C37,'Question-Article-Match'!$F:$F,"indirect match")&gt;0,"indirect match","no match"))</f>
        <v>no match</v>
      </c>
      <c r="H37" s="14"/>
    </row>
    <row r="38" spans="1:8" ht="28" customHeight="1">
      <c r="A38" s="25" t="s">
        <v>44</v>
      </c>
      <c r="B38" s="25" t="s">
        <v>45</v>
      </c>
      <c r="C38" s="25">
        <v>7</v>
      </c>
      <c r="D38" s="25" t="s">
        <v>18</v>
      </c>
      <c r="E38" s="25" t="s">
        <v>19</v>
      </c>
      <c r="F38" s="26">
        <v>0.35759999999999997</v>
      </c>
      <c r="G38" s="25" t="str">
        <f>IF(COUNTIFS('Question-Article-Match'!$A:$A,A38,'Question-Article-Match'!$C:$C,C38,'Question-Article-Match'!$F:$F,"direct match")&gt;0,"direct match",IF(COUNTIFS('Question-Article-Match'!$A:$A,A38,'Question-Article-Match'!$C:$C,C38,'Question-Article-Match'!$F:$F,"indirect match")&gt;0,"indirect match","no match"))</f>
        <v>no match</v>
      </c>
      <c r="H38" s="14"/>
    </row>
    <row r="39" spans="1:8" ht="28" customHeight="1">
      <c r="A39" s="25" t="s">
        <v>44</v>
      </c>
      <c r="B39" s="25" t="s">
        <v>45</v>
      </c>
      <c r="C39" s="25">
        <v>8</v>
      </c>
      <c r="D39" s="25" t="s">
        <v>46</v>
      </c>
      <c r="E39" s="25" t="s">
        <v>47</v>
      </c>
      <c r="F39" s="26">
        <v>0.34039999999999998</v>
      </c>
      <c r="G39" s="25" t="str">
        <f>IF(COUNTIFS('Question-Article-Match'!$A:$A,A39,'Question-Article-Match'!$C:$C,C39,'Question-Article-Match'!$F:$F,"direct match")&gt;0,"direct match",IF(COUNTIFS('Question-Article-Match'!$A:$A,A39,'Question-Article-Match'!$C:$C,C39,'Question-Article-Match'!$F:$F,"indirect match")&gt;0,"indirect match","no match"))</f>
        <v>no match</v>
      </c>
      <c r="H39" s="14"/>
    </row>
    <row r="40" spans="1:8" ht="28" customHeight="1">
      <c r="A40" s="25" t="s">
        <v>44</v>
      </c>
      <c r="B40" s="25" t="s">
        <v>45</v>
      </c>
      <c r="C40" s="25">
        <v>9</v>
      </c>
      <c r="D40" s="25" t="s">
        <v>22</v>
      </c>
      <c r="E40" s="25" t="s">
        <v>23</v>
      </c>
      <c r="F40" s="26">
        <v>0.31940000000000002</v>
      </c>
      <c r="G40" s="25" t="str">
        <f>IF(COUNTIFS('Question-Article-Match'!$A:$A,A40,'Question-Article-Match'!$C:$C,C40,'Question-Article-Match'!$F:$F,"direct match")&gt;0,"direct match",IF(COUNTIFS('Question-Article-Match'!$A:$A,A40,'Question-Article-Match'!$C:$C,C40,'Question-Article-Match'!$F:$F,"indirect match")&gt;0,"indirect match","no match"))</f>
        <v>no match</v>
      </c>
      <c r="H40" s="14"/>
    </row>
    <row r="41" spans="1:8" ht="28" customHeight="1">
      <c r="A41" s="25" t="s">
        <v>44</v>
      </c>
      <c r="B41" s="25" t="s">
        <v>45</v>
      </c>
      <c r="C41" s="25">
        <v>10</v>
      </c>
      <c r="D41" s="25" t="s">
        <v>20</v>
      </c>
      <c r="E41" s="25" t="s">
        <v>21</v>
      </c>
      <c r="F41" s="26">
        <v>0.2697</v>
      </c>
      <c r="G41" s="25" t="str">
        <f>IF(COUNTIFS('Question-Article-Match'!$A:$A,A41,'Question-Article-Match'!$C:$C,C41,'Question-Article-Match'!$F:$F,"direct match")&gt;0,"direct match",IF(COUNTIFS('Question-Article-Match'!$A:$A,A41,'Question-Article-Match'!$C:$C,C41,'Question-Article-Match'!$F:$F,"indirect match")&gt;0,"indirect match","no match"))</f>
        <v>no match</v>
      </c>
      <c r="H41" s="1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37"/>
  <sheetViews>
    <sheetView workbookViewId="0">
      <pane ySplit="1" topLeftCell="A2" activePane="bottomLeft" state="frozen"/>
      <selection pane="bottomLeft"/>
    </sheetView>
  </sheetViews>
  <sheetFormatPr defaultRowHeight="14"/>
  <cols>
    <col min="1" max="1" width="11" customWidth="1"/>
    <col min="2" max="2" width="50" customWidth="1"/>
    <col min="3" max="3" width="8" customWidth="1"/>
    <col min="4" max="4" width="38" customWidth="1"/>
    <col min="5" max="5" width="60" customWidth="1"/>
    <col min="6" max="6" width="22" customWidth="1"/>
    <col min="7" max="8" width="15" customWidth="1"/>
  </cols>
  <sheetData>
    <row r="1" spans="1:8">
      <c r="A1" s="27" t="s">
        <v>0</v>
      </c>
      <c r="B1" s="27" t="s">
        <v>1</v>
      </c>
      <c r="C1" s="27" t="s">
        <v>48</v>
      </c>
      <c r="D1" s="27" t="s">
        <v>3</v>
      </c>
      <c r="E1" s="27" t="s">
        <v>4</v>
      </c>
      <c r="F1" s="27" t="s">
        <v>190</v>
      </c>
      <c r="G1" s="27" t="s">
        <v>191</v>
      </c>
      <c r="H1" s="27" t="s">
        <v>6</v>
      </c>
    </row>
    <row r="2" spans="1:8">
      <c r="A2" s="28" t="s">
        <v>117</v>
      </c>
      <c r="B2" s="28" t="s">
        <v>118</v>
      </c>
      <c r="C2" s="28">
        <v>3</v>
      </c>
      <c r="D2" s="28" t="s">
        <v>26</v>
      </c>
      <c r="E2" s="28" t="s">
        <v>27</v>
      </c>
      <c r="F2" s="28">
        <v>0.8</v>
      </c>
      <c r="G2" s="28">
        <v>1</v>
      </c>
      <c r="H2" s="28" t="str">
        <f>IF(COUNTIFS('Question-Article-Match'!$A:$A,A2,'Question-Article-Match'!$C:$C,C2,'Question-Article-Match'!$F:$F,"direct match")&gt;0,"direct match",IF(COUNTIFS('Question-Article-Match'!$A:$A,A2,'Question-Article-Match'!$C:$C,C2,'Question-Article-Match'!$F:$F,"indirect match")&gt;0,"indirect match","no match"))</f>
        <v>direct match</v>
      </c>
    </row>
    <row r="3" spans="1:8">
      <c r="A3" s="28" t="s">
        <v>117</v>
      </c>
      <c r="B3" s="28" t="s">
        <v>118</v>
      </c>
      <c r="C3" s="28">
        <v>16</v>
      </c>
      <c r="D3" s="28" t="s">
        <v>12</v>
      </c>
      <c r="E3" s="28" t="s">
        <v>13</v>
      </c>
      <c r="F3" s="28">
        <v>0.3</v>
      </c>
      <c r="G3" s="28">
        <v>2</v>
      </c>
      <c r="H3" s="28" t="str">
        <f>IF(COUNTIFS('Question-Article-Match'!$A:$A,A3,'Question-Article-Match'!$C:$C,C3,'Question-Article-Match'!$F:$F,"direct match")&gt;0,"direct match",IF(COUNTIFS('Question-Article-Match'!$A:$A,A3,'Question-Article-Match'!$C:$C,C3,'Question-Article-Match'!$F:$F,"indirect match")&gt;0,"indirect match","no match"))</f>
        <v>no match</v>
      </c>
    </row>
    <row r="4" spans="1:8">
      <c r="A4" s="28" t="s">
        <v>117</v>
      </c>
      <c r="B4" s="28" t="s">
        <v>118</v>
      </c>
      <c r="C4" s="28">
        <v>21</v>
      </c>
      <c r="D4" s="28" t="s">
        <v>46</v>
      </c>
      <c r="E4" s="28" t="s">
        <v>47</v>
      </c>
      <c r="F4" s="28">
        <v>0.2</v>
      </c>
      <c r="G4" s="28">
        <v>3</v>
      </c>
      <c r="H4" s="28" t="str">
        <f>IF(COUNTIFS('Question-Article-Match'!$A:$A,A4,'Question-Article-Match'!$C:$C,C4,'Question-Article-Match'!$F:$F,"direct match")&gt;0,"direct match",IF(COUNTIFS('Question-Article-Match'!$A:$A,A4,'Question-Article-Match'!$C:$C,C4,'Question-Article-Match'!$F:$F,"indirect match")&gt;0,"indirect match","no match"))</f>
        <v>no match</v>
      </c>
    </row>
    <row r="5" spans="1:8">
      <c r="A5" s="28" t="s">
        <v>117</v>
      </c>
      <c r="B5" s="28" t="s">
        <v>118</v>
      </c>
      <c r="C5" s="28">
        <v>14</v>
      </c>
      <c r="D5" s="28" t="s">
        <v>16</v>
      </c>
      <c r="E5" s="28" t="s">
        <v>17</v>
      </c>
      <c r="F5" s="28">
        <v>0.2</v>
      </c>
      <c r="G5" s="28">
        <v>4</v>
      </c>
      <c r="H5" s="28" t="str">
        <f>IF(COUNTIFS('Question-Article-Match'!$A:$A,A5,'Question-Article-Match'!$C:$C,C5,'Question-Article-Match'!$F:$F,"direct match")&gt;0,"direct match",IF(COUNTIFS('Question-Article-Match'!$A:$A,A5,'Question-Article-Match'!$C:$C,C5,'Question-Article-Match'!$F:$F,"indirect match")&gt;0,"indirect match","no match"))</f>
        <v>indirect match</v>
      </c>
    </row>
    <row r="6" spans="1:8">
      <c r="A6" s="28" t="s">
        <v>117</v>
      </c>
      <c r="B6" s="28" t="s">
        <v>118</v>
      </c>
      <c r="C6" s="28">
        <v>1</v>
      </c>
      <c r="D6" s="28" t="s">
        <v>22</v>
      </c>
      <c r="E6" s="28" t="s">
        <v>23</v>
      </c>
      <c r="F6" s="28">
        <v>0.2</v>
      </c>
      <c r="G6" s="28">
        <v>5</v>
      </c>
      <c r="H6" s="28" t="str">
        <f>IF(COUNTIFS('Question-Article-Match'!$A:$A,A6,'Question-Article-Match'!$C:$C,C6,'Question-Article-Match'!$F:$F,"direct match")&gt;0,"direct match",IF(COUNTIFS('Question-Article-Match'!$A:$A,A6,'Question-Article-Match'!$C:$C,C6,'Question-Article-Match'!$F:$F,"indirect match")&gt;0,"indirect match","no match"))</f>
        <v>no match</v>
      </c>
    </row>
    <row r="7" spans="1:8">
      <c r="A7" s="28" t="s">
        <v>117</v>
      </c>
      <c r="B7" s="28" t="s">
        <v>118</v>
      </c>
      <c r="C7" s="28">
        <v>2</v>
      </c>
      <c r="D7" s="28" t="s">
        <v>18</v>
      </c>
      <c r="E7" s="28" t="s">
        <v>19</v>
      </c>
      <c r="F7" s="28">
        <v>0.2</v>
      </c>
      <c r="G7" s="28">
        <v>6</v>
      </c>
      <c r="H7" s="28" t="str">
        <f>IF(COUNTIFS('Question-Article-Match'!$A:$A,A7,'Question-Article-Match'!$C:$C,C7,'Question-Article-Match'!$F:$F,"direct match")&gt;0,"direct match",IF(COUNTIFS('Question-Article-Match'!$A:$A,A7,'Question-Article-Match'!$C:$C,C7,'Question-Article-Match'!$F:$F,"indirect match")&gt;0,"indirect match","no match"))</f>
        <v>no match</v>
      </c>
    </row>
    <row r="8" spans="1:8">
      <c r="A8" s="28" t="s">
        <v>117</v>
      </c>
      <c r="B8" s="28" t="s">
        <v>118</v>
      </c>
      <c r="C8" s="28">
        <v>17</v>
      </c>
      <c r="D8" s="28" t="s">
        <v>108</v>
      </c>
      <c r="E8" s="28" t="s">
        <v>109</v>
      </c>
      <c r="F8" s="28">
        <v>0.1</v>
      </c>
      <c r="G8" s="28">
        <v>7</v>
      </c>
      <c r="H8" s="28" t="str">
        <f>IF(COUNTIFS('Question-Article-Match'!$A:$A,A8,'Question-Article-Match'!$C:$C,C8,'Question-Article-Match'!$F:$F,"direct match")&gt;0,"direct match",IF(COUNTIFS('Question-Article-Match'!$A:$A,A8,'Question-Article-Match'!$C:$C,C8,'Question-Article-Match'!$F:$F,"indirect match")&gt;0,"indirect match","no match"))</f>
        <v>no match</v>
      </c>
    </row>
    <row r="9" spans="1:8">
      <c r="A9" s="28" t="s">
        <v>117</v>
      </c>
      <c r="B9" s="28" t="s">
        <v>118</v>
      </c>
      <c r="C9" s="28">
        <v>13</v>
      </c>
      <c r="D9" s="28" t="s">
        <v>34</v>
      </c>
      <c r="E9" s="28" t="s">
        <v>35</v>
      </c>
      <c r="F9" s="28">
        <v>0.1</v>
      </c>
      <c r="G9" s="28">
        <v>8</v>
      </c>
      <c r="H9" s="28" t="str">
        <f>IF(COUNTIFS('Question-Article-Match'!$A:$A,A9,'Question-Article-Match'!$C:$C,C9,'Question-Article-Match'!$F:$F,"direct match")&gt;0,"direct match",IF(COUNTIFS('Question-Article-Match'!$A:$A,A9,'Question-Article-Match'!$C:$C,C9,'Question-Article-Match'!$F:$F,"indirect match")&gt;0,"indirect match","no match"))</f>
        <v>no match</v>
      </c>
    </row>
    <row r="10" spans="1:8">
      <c r="A10" s="28" t="s">
        <v>117</v>
      </c>
      <c r="B10" s="28" t="s">
        <v>118</v>
      </c>
      <c r="C10" s="28">
        <v>18</v>
      </c>
      <c r="D10" s="28" t="s">
        <v>24</v>
      </c>
      <c r="E10" s="28" t="s">
        <v>25</v>
      </c>
      <c r="F10" s="28">
        <v>0.1</v>
      </c>
      <c r="G10" s="28">
        <v>9</v>
      </c>
      <c r="H10" s="28" t="str">
        <f>IF(COUNTIFS('Question-Article-Match'!$A:$A,A10,'Question-Article-Match'!$C:$C,C10,'Question-Article-Match'!$F:$F,"direct match")&gt;0,"direct match",IF(COUNTIFS('Question-Article-Match'!$A:$A,A10,'Question-Article-Match'!$C:$C,C10,'Question-Article-Match'!$F:$F,"indirect match")&gt;0,"indirect match","no match"))</f>
        <v>indirect match</v>
      </c>
    </row>
    <row r="11" spans="1:8">
      <c r="A11" s="28" t="s">
        <v>117</v>
      </c>
      <c r="B11" s="28" t="s">
        <v>118</v>
      </c>
      <c r="C11" s="28">
        <v>19</v>
      </c>
      <c r="D11" s="28" t="s">
        <v>14</v>
      </c>
      <c r="E11" s="28" t="s">
        <v>15</v>
      </c>
      <c r="F11" s="28">
        <v>0.1</v>
      </c>
      <c r="G11" s="28">
        <v>10</v>
      </c>
      <c r="H11" s="28" t="str">
        <f>IF(COUNTIFS('Question-Article-Match'!$A:$A,A11,'Question-Article-Match'!$C:$C,C11,'Question-Article-Match'!$F:$F,"direct match")&gt;0,"direct match",IF(COUNTIFS('Question-Article-Match'!$A:$A,A11,'Question-Article-Match'!$C:$C,C11,'Question-Article-Match'!$F:$F,"indirect match")&gt;0,"indirect match","no match"))</f>
        <v>no match</v>
      </c>
    </row>
    <row r="12" spans="1:8">
      <c r="A12" s="28" t="s">
        <v>117</v>
      </c>
      <c r="B12" s="28" t="s">
        <v>118</v>
      </c>
      <c r="C12" s="28">
        <v>11</v>
      </c>
      <c r="D12" s="28" t="s">
        <v>89</v>
      </c>
      <c r="E12" s="28" t="s">
        <v>90</v>
      </c>
      <c r="F12" s="28">
        <v>0</v>
      </c>
      <c r="G12" s="28">
        <v>11</v>
      </c>
      <c r="H12" s="28" t="str">
        <f>IF(COUNTIFS('Question-Article-Match'!$A:$A,A12,'Question-Article-Match'!$C:$C,C12,'Question-Article-Match'!$F:$F,"direct match")&gt;0,"direct match",IF(COUNTIFS('Question-Article-Match'!$A:$A,A12,'Question-Article-Match'!$C:$C,C12,'Question-Article-Match'!$F:$F,"indirect match")&gt;0,"indirect match","no match"))</f>
        <v>no match</v>
      </c>
    </row>
    <row r="13" spans="1:8">
      <c r="A13" s="28" t="s">
        <v>117</v>
      </c>
      <c r="B13" s="28" t="s">
        <v>118</v>
      </c>
      <c r="C13" s="28">
        <v>20</v>
      </c>
      <c r="D13" s="28" t="s">
        <v>113</v>
      </c>
      <c r="E13" s="28" t="s">
        <v>114</v>
      </c>
      <c r="F13" s="28">
        <v>0</v>
      </c>
      <c r="G13" s="28">
        <v>12</v>
      </c>
      <c r="H13" s="28" t="str">
        <f>IF(COUNTIFS('Question-Article-Match'!$A:$A,A13,'Question-Article-Match'!$C:$C,C13,'Question-Article-Match'!$F:$F,"direct match")&gt;0,"direct match",IF(COUNTIFS('Question-Article-Match'!$A:$A,A13,'Question-Article-Match'!$C:$C,C13,'Question-Article-Match'!$F:$F,"indirect match")&gt;0,"indirect match","no match"))</f>
        <v>no match</v>
      </c>
    </row>
    <row r="14" spans="1:8">
      <c r="A14" s="28" t="s">
        <v>117</v>
      </c>
      <c r="B14" s="28" t="s">
        <v>118</v>
      </c>
      <c r="C14" s="28">
        <v>7</v>
      </c>
      <c r="D14" s="28" t="s">
        <v>75</v>
      </c>
      <c r="E14" s="28" t="s">
        <v>76</v>
      </c>
      <c r="F14" s="28">
        <v>0</v>
      </c>
      <c r="G14" s="28">
        <v>13</v>
      </c>
      <c r="H14" s="28" t="str">
        <f>IF(COUNTIFS('Question-Article-Match'!$A:$A,A14,'Question-Article-Match'!$C:$C,C14,'Question-Article-Match'!$F:$F,"direct match")&gt;0,"direct match",IF(COUNTIFS('Question-Article-Match'!$A:$A,A14,'Question-Article-Match'!$C:$C,C14,'Question-Article-Match'!$F:$F,"indirect match")&gt;0,"indirect match","no match"))</f>
        <v>no match</v>
      </c>
    </row>
    <row r="15" spans="1:8">
      <c r="A15" s="28" t="s">
        <v>117</v>
      </c>
      <c r="B15" s="28" t="s">
        <v>118</v>
      </c>
      <c r="C15" s="28">
        <v>9</v>
      </c>
      <c r="D15" s="28" t="s">
        <v>10</v>
      </c>
      <c r="E15" s="28" t="s">
        <v>11</v>
      </c>
      <c r="F15" s="28">
        <v>0</v>
      </c>
      <c r="G15" s="28">
        <v>14</v>
      </c>
      <c r="H15" s="28" t="str">
        <f>IF(COUNTIFS('Question-Article-Match'!$A:$A,A15,'Question-Article-Match'!$C:$C,C15,'Question-Article-Match'!$F:$F,"direct match")&gt;0,"direct match",IF(COUNTIFS('Question-Article-Match'!$A:$A,A15,'Question-Article-Match'!$C:$C,C15,'Question-Article-Match'!$F:$F,"indirect match")&gt;0,"indirect match","no match"))</f>
        <v>no match</v>
      </c>
    </row>
    <row r="16" spans="1:8">
      <c r="A16" s="28" t="s">
        <v>117</v>
      </c>
      <c r="B16" s="28" t="s">
        <v>118</v>
      </c>
      <c r="C16" s="28">
        <v>12</v>
      </c>
      <c r="D16" s="28" t="s">
        <v>20</v>
      </c>
      <c r="E16" s="28" t="s">
        <v>21</v>
      </c>
      <c r="F16" s="28">
        <v>0</v>
      </c>
      <c r="G16" s="28">
        <v>15</v>
      </c>
      <c r="H16" s="28" t="str">
        <f>IF(COUNTIFS('Question-Article-Match'!$A:$A,A16,'Question-Article-Match'!$C:$C,C16,'Question-Article-Match'!$F:$F,"direct match")&gt;0,"direct match",IF(COUNTIFS('Question-Article-Match'!$A:$A,A16,'Question-Article-Match'!$C:$C,C16,'Question-Article-Match'!$F:$F,"indirect match")&gt;0,"indirect match","no match"))</f>
        <v>no match</v>
      </c>
    </row>
    <row r="17" spans="1:8">
      <c r="A17" s="28" t="s">
        <v>117</v>
      </c>
      <c r="B17" s="28" t="s">
        <v>118</v>
      </c>
      <c r="C17" s="28">
        <v>5</v>
      </c>
      <c r="D17" s="28" t="s">
        <v>36</v>
      </c>
      <c r="E17" s="28" t="s">
        <v>37</v>
      </c>
      <c r="F17" s="28">
        <v>0</v>
      </c>
      <c r="G17" s="28">
        <v>16</v>
      </c>
      <c r="H17" s="28" t="str">
        <f>IF(COUNTIFS('Question-Article-Match'!$A:$A,A17,'Question-Article-Match'!$C:$C,C17,'Question-Article-Match'!$F:$F,"direct match")&gt;0,"direct match",IF(COUNTIFS('Question-Article-Match'!$A:$A,A17,'Question-Article-Match'!$C:$C,C17,'Question-Article-Match'!$F:$F,"indirect match")&gt;0,"indirect match","no match"))</f>
        <v>no match</v>
      </c>
    </row>
    <row r="18" spans="1:8">
      <c r="A18" s="28" t="s">
        <v>117</v>
      </c>
      <c r="B18" s="28" t="s">
        <v>118</v>
      </c>
      <c r="C18" s="28">
        <v>10</v>
      </c>
      <c r="D18" s="28" t="s">
        <v>32</v>
      </c>
      <c r="E18" s="28" t="s">
        <v>33</v>
      </c>
      <c r="F18" s="28">
        <v>0</v>
      </c>
      <c r="G18" s="28">
        <v>17</v>
      </c>
      <c r="H18" s="28" t="str">
        <f>IF(COUNTIFS('Question-Article-Match'!$A:$A,A18,'Question-Article-Match'!$C:$C,C18,'Question-Article-Match'!$F:$F,"direct match")&gt;0,"direct match",IF(COUNTIFS('Question-Article-Match'!$A:$A,A18,'Question-Article-Match'!$C:$C,C18,'Question-Article-Match'!$F:$F,"indirect match")&gt;0,"indirect match","no match"))</f>
        <v>no match</v>
      </c>
    </row>
    <row r="19" spans="1:8">
      <c r="A19" s="28" t="s">
        <v>117</v>
      </c>
      <c r="B19" s="28" t="s">
        <v>118</v>
      </c>
      <c r="C19" s="28">
        <v>8</v>
      </c>
      <c r="D19" s="28" t="s">
        <v>40</v>
      </c>
      <c r="E19" s="28" t="s">
        <v>41</v>
      </c>
      <c r="F19" s="28">
        <v>0</v>
      </c>
      <c r="G19" s="28">
        <v>18</v>
      </c>
      <c r="H19" s="28" t="str">
        <f>IF(COUNTIFS('Question-Article-Match'!$A:$A,A19,'Question-Article-Match'!$C:$C,C19,'Question-Article-Match'!$F:$F,"direct match")&gt;0,"direct match",IF(COUNTIFS('Question-Article-Match'!$A:$A,A19,'Question-Article-Match'!$C:$C,C19,'Question-Article-Match'!$F:$F,"indirect match")&gt;0,"indirect match","no match"))</f>
        <v>no match</v>
      </c>
    </row>
    <row r="20" spans="1:8">
      <c r="A20" s="28" t="s">
        <v>117</v>
      </c>
      <c r="B20" s="28" t="s">
        <v>118</v>
      </c>
      <c r="C20" s="28">
        <v>4</v>
      </c>
      <c r="D20" s="28" t="s">
        <v>64</v>
      </c>
      <c r="E20" s="28" t="s">
        <v>65</v>
      </c>
      <c r="F20" s="28">
        <v>0</v>
      </c>
      <c r="G20" s="28">
        <v>19</v>
      </c>
      <c r="H20" s="28" t="str">
        <f>IF(COUNTIFS('Question-Article-Match'!$A:$A,A20,'Question-Article-Match'!$C:$C,C20,'Question-Article-Match'!$F:$F,"direct match")&gt;0,"direct match",IF(COUNTIFS('Question-Article-Match'!$A:$A,A20,'Question-Article-Match'!$C:$C,C20,'Question-Article-Match'!$F:$F,"indirect match")&gt;0,"indirect match","no match"))</f>
        <v>no match</v>
      </c>
    </row>
    <row r="21" spans="1:8">
      <c r="A21" s="28" t="s">
        <v>117</v>
      </c>
      <c r="B21" s="28" t="s">
        <v>118</v>
      </c>
      <c r="C21" s="28">
        <v>6</v>
      </c>
      <c r="D21" s="28" t="s">
        <v>28</v>
      </c>
      <c r="E21" s="28" t="s">
        <v>29</v>
      </c>
      <c r="F21" s="28">
        <v>0</v>
      </c>
      <c r="G21" s="28">
        <v>20</v>
      </c>
      <c r="H21" s="28" t="str">
        <f>IF(COUNTIFS('Question-Article-Match'!$A:$A,A21,'Question-Article-Match'!$C:$C,C21,'Question-Article-Match'!$F:$F,"direct match")&gt;0,"direct match",IF(COUNTIFS('Question-Article-Match'!$A:$A,A21,'Question-Article-Match'!$C:$C,C21,'Question-Article-Match'!$F:$F,"indirect match")&gt;0,"indirect match","no match"))</f>
        <v>no match</v>
      </c>
    </row>
    <row r="22" spans="1:8">
      <c r="A22" s="28" t="s">
        <v>117</v>
      </c>
      <c r="B22" s="28" t="s">
        <v>118</v>
      </c>
      <c r="C22" s="28">
        <v>15</v>
      </c>
      <c r="D22" s="28" t="s">
        <v>42</v>
      </c>
      <c r="E22" s="28" t="s">
        <v>43</v>
      </c>
      <c r="F22" s="28">
        <v>0</v>
      </c>
      <c r="G22" s="28">
        <v>21</v>
      </c>
      <c r="H22" s="28" t="str">
        <f>IF(COUNTIFS('Question-Article-Match'!$A:$A,A22,'Question-Article-Match'!$C:$C,C22,'Question-Article-Match'!$F:$F,"direct match")&gt;0,"direct match",IF(COUNTIFS('Question-Article-Match'!$A:$A,A22,'Question-Article-Match'!$C:$C,C22,'Question-Article-Match'!$F:$F,"indirect match")&gt;0,"indirect match","no match"))</f>
        <v>no match</v>
      </c>
    </row>
    <row r="23" spans="1:8">
      <c r="A23" s="28" t="s">
        <v>120</v>
      </c>
      <c r="B23" s="28" t="s">
        <v>121</v>
      </c>
      <c r="C23" s="28">
        <v>3</v>
      </c>
      <c r="D23" s="28" t="s">
        <v>26</v>
      </c>
      <c r="E23" s="28" t="s">
        <v>27</v>
      </c>
      <c r="F23" s="28">
        <v>0.6</v>
      </c>
      <c r="G23" s="28">
        <v>1</v>
      </c>
      <c r="H23" s="28" t="str">
        <f>IF(COUNTIFS('Question-Article-Match'!$A:$A,A23,'Question-Article-Match'!$C:$C,C23,'Question-Article-Match'!$F:$F,"direct match")&gt;0,"direct match",IF(COUNTIFS('Question-Article-Match'!$A:$A,A23,'Question-Article-Match'!$C:$C,C23,'Question-Article-Match'!$F:$F,"indirect match")&gt;0,"indirect match","no match"))</f>
        <v>indirect match</v>
      </c>
    </row>
    <row r="24" spans="1:8">
      <c r="A24" s="28" t="s">
        <v>120</v>
      </c>
      <c r="B24" s="28" t="s">
        <v>121</v>
      </c>
      <c r="C24" s="28">
        <v>16</v>
      </c>
      <c r="D24" s="28" t="s">
        <v>12</v>
      </c>
      <c r="E24" s="28" t="s">
        <v>13</v>
      </c>
      <c r="F24" s="28">
        <v>0.3</v>
      </c>
      <c r="G24" s="28">
        <v>2</v>
      </c>
      <c r="H24" s="28" t="str">
        <f>IF(COUNTIFS('Question-Article-Match'!$A:$A,A24,'Question-Article-Match'!$C:$C,C24,'Question-Article-Match'!$F:$F,"direct match")&gt;0,"direct match",IF(COUNTIFS('Question-Article-Match'!$A:$A,A24,'Question-Article-Match'!$C:$C,C24,'Question-Article-Match'!$F:$F,"indirect match")&gt;0,"indirect match","no match"))</f>
        <v>no match</v>
      </c>
    </row>
    <row r="25" spans="1:8">
      <c r="A25" s="28" t="s">
        <v>120</v>
      </c>
      <c r="B25" s="28" t="s">
        <v>121</v>
      </c>
      <c r="C25" s="28">
        <v>18</v>
      </c>
      <c r="D25" s="28" t="s">
        <v>24</v>
      </c>
      <c r="E25" s="28" t="s">
        <v>25</v>
      </c>
      <c r="F25" s="28">
        <v>0.3</v>
      </c>
      <c r="G25" s="28">
        <v>3</v>
      </c>
      <c r="H25" s="28" t="str">
        <f>IF(COUNTIFS('Question-Article-Match'!$A:$A,A25,'Question-Article-Match'!$C:$C,C25,'Question-Article-Match'!$F:$F,"direct match")&gt;0,"direct match",IF(COUNTIFS('Question-Article-Match'!$A:$A,A25,'Question-Article-Match'!$C:$C,C25,'Question-Article-Match'!$F:$F,"indirect match")&gt;0,"indirect match","no match"))</f>
        <v>direct match</v>
      </c>
    </row>
    <row r="26" spans="1:8">
      <c r="A26" s="28" t="s">
        <v>120</v>
      </c>
      <c r="B26" s="28" t="s">
        <v>121</v>
      </c>
      <c r="C26" s="28">
        <v>21</v>
      </c>
      <c r="D26" s="28" t="s">
        <v>46</v>
      </c>
      <c r="E26" s="28" t="s">
        <v>47</v>
      </c>
      <c r="F26" s="28">
        <v>0.2</v>
      </c>
      <c r="G26" s="28">
        <v>4</v>
      </c>
      <c r="H26" s="28" t="str">
        <f>IF(COUNTIFS('Question-Article-Match'!$A:$A,A26,'Question-Article-Match'!$C:$C,C26,'Question-Article-Match'!$F:$F,"direct match")&gt;0,"direct match",IF(COUNTIFS('Question-Article-Match'!$A:$A,A26,'Question-Article-Match'!$C:$C,C26,'Question-Article-Match'!$F:$F,"indirect match")&gt;0,"indirect match","no match"))</f>
        <v>no match</v>
      </c>
    </row>
    <row r="27" spans="1:8">
      <c r="A27" s="28" t="s">
        <v>120</v>
      </c>
      <c r="B27" s="28" t="s">
        <v>121</v>
      </c>
      <c r="C27" s="28">
        <v>14</v>
      </c>
      <c r="D27" s="28" t="s">
        <v>16</v>
      </c>
      <c r="E27" s="28" t="s">
        <v>17</v>
      </c>
      <c r="F27" s="28">
        <v>0.2</v>
      </c>
      <c r="G27" s="28">
        <v>5</v>
      </c>
      <c r="H27" s="28" t="str">
        <f>IF(COUNTIFS('Question-Article-Match'!$A:$A,A27,'Question-Article-Match'!$C:$C,C27,'Question-Article-Match'!$F:$F,"direct match")&gt;0,"direct match",IF(COUNTIFS('Question-Article-Match'!$A:$A,A27,'Question-Article-Match'!$C:$C,C27,'Question-Article-Match'!$F:$F,"indirect match")&gt;0,"indirect match","no match"))</f>
        <v>no match</v>
      </c>
    </row>
    <row r="28" spans="1:8">
      <c r="A28" s="28" t="s">
        <v>120</v>
      </c>
      <c r="B28" s="28" t="s">
        <v>121</v>
      </c>
      <c r="C28" s="28">
        <v>1</v>
      </c>
      <c r="D28" s="28" t="s">
        <v>22</v>
      </c>
      <c r="E28" s="28" t="s">
        <v>23</v>
      </c>
      <c r="F28" s="28">
        <v>0.2</v>
      </c>
      <c r="G28" s="28">
        <v>6</v>
      </c>
      <c r="H28" s="28" t="str">
        <f>IF(COUNTIFS('Question-Article-Match'!$A:$A,A28,'Question-Article-Match'!$C:$C,C28,'Question-Article-Match'!$F:$F,"direct match")&gt;0,"direct match",IF(COUNTIFS('Question-Article-Match'!$A:$A,A28,'Question-Article-Match'!$C:$C,C28,'Question-Article-Match'!$F:$F,"indirect match")&gt;0,"indirect match","no match"))</f>
        <v>no match</v>
      </c>
    </row>
    <row r="29" spans="1:8">
      <c r="A29" s="28" t="s">
        <v>120</v>
      </c>
      <c r="B29" s="28" t="s">
        <v>121</v>
      </c>
      <c r="C29" s="28">
        <v>2</v>
      </c>
      <c r="D29" s="28" t="s">
        <v>18</v>
      </c>
      <c r="E29" s="28" t="s">
        <v>19</v>
      </c>
      <c r="F29" s="28">
        <v>0.2</v>
      </c>
      <c r="G29" s="28">
        <v>7</v>
      </c>
      <c r="H29" s="28" t="str">
        <f>IF(COUNTIFS('Question-Article-Match'!$A:$A,A29,'Question-Article-Match'!$C:$C,C29,'Question-Article-Match'!$F:$F,"direct match")&gt;0,"direct match",IF(COUNTIFS('Question-Article-Match'!$A:$A,A29,'Question-Article-Match'!$C:$C,C29,'Question-Article-Match'!$F:$F,"indirect match")&gt;0,"indirect match","no match"))</f>
        <v>no match</v>
      </c>
    </row>
    <row r="30" spans="1:8">
      <c r="A30" s="28" t="s">
        <v>120</v>
      </c>
      <c r="B30" s="28" t="s">
        <v>121</v>
      </c>
      <c r="C30" s="28">
        <v>17</v>
      </c>
      <c r="D30" s="28" t="s">
        <v>108</v>
      </c>
      <c r="E30" s="28" t="s">
        <v>109</v>
      </c>
      <c r="F30" s="28">
        <v>0.1</v>
      </c>
      <c r="G30" s="28">
        <v>8</v>
      </c>
      <c r="H30" s="28" t="str">
        <f>IF(COUNTIFS('Question-Article-Match'!$A:$A,A30,'Question-Article-Match'!$C:$C,C30,'Question-Article-Match'!$F:$F,"direct match")&gt;0,"direct match",IF(COUNTIFS('Question-Article-Match'!$A:$A,A30,'Question-Article-Match'!$C:$C,C30,'Question-Article-Match'!$F:$F,"indirect match")&gt;0,"indirect match","no match"))</f>
        <v>no match</v>
      </c>
    </row>
    <row r="31" spans="1:8">
      <c r="A31" s="28" t="s">
        <v>120</v>
      </c>
      <c r="B31" s="28" t="s">
        <v>121</v>
      </c>
      <c r="C31" s="28">
        <v>13</v>
      </c>
      <c r="D31" s="28" t="s">
        <v>34</v>
      </c>
      <c r="E31" s="28" t="s">
        <v>35</v>
      </c>
      <c r="F31" s="28">
        <v>0.1</v>
      </c>
      <c r="G31" s="28">
        <v>9</v>
      </c>
      <c r="H31" s="28" t="str">
        <f>IF(COUNTIFS('Question-Article-Match'!$A:$A,A31,'Question-Article-Match'!$C:$C,C31,'Question-Article-Match'!$F:$F,"direct match")&gt;0,"direct match",IF(COUNTIFS('Question-Article-Match'!$A:$A,A31,'Question-Article-Match'!$C:$C,C31,'Question-Article-Match'!$F:$F,"indirect match")&gt;0,"indirect match","no match"))</f>
        <v>no match</v>
      </c>
    </row>
    <row r="32" spans="1:8">
      <c r="A32" s="28" t="s">
        <v>120</v>
      </c>
      <c r="B32" s="28" t="s">
        <v>121</v>
      </c>
      <c r="C32" s="28">
        <v>19</v>
      </c>
      <c r="D32" s="28" t="s">
        <v>14</v>
      </c>
      <c r="E32" s="28" t="s">
        <v>15</v>
      </c>
      <c r="F32" s="28">
        <v>0.1</v>
      </c>
      <c r="G32" s="28">
        <v>10</v>
      </c>
      <c r="H32" s="28" t="str">
        <f>IF(COUNTIFS('Question-Article-Match'!$A:$A,A32,'Question-Article-Match'!$C:$C,C32,'Question-Article-Match'!$F:$F,"direct match")&gt;0,"direct match",IF(COUNTIFS('Question-Article-Match'!$A:$A,A32,'Question-Article-Match'!$C:$C,C32,'Question-Article-Match'!$F:$F,"indirect match")&gt;0,"indirect match","no match"))</f>
        <v>no match</v>
      </c>
    </row>
    <row r="33" spans="1:8">
      <c r="A33" s="28" t="s">
        <v>120</v>
      </c>
      <c r="B33" s="28" t="s">
        <v>121</v>
      </c>
      <c r="C33" s="28">
        <v>11</v>
      </c>
      <c r="D33" s="28" t="s">
        <v>89</v>
      </c>
      <c r="E33" s="28" t="s">
        <v>90</v>
      </c>
      <c r="F33" s="28">
        <v>0</v>
      </c>
      <c r="G33" s="28">
        <v>11</v>
      </c>
      <c r="H33" s="28" t="str">
        <f>IF(COUNTIFS('Question-Article-Match'!$A:$A,A33,'Question-Article-Match'!$C:$C,C33,'Question-Article-Match'!$F:$F,"direct match")&gt;0,"direct match",IF(COUNTIFS('Question-Article-Match'!$A:$A,A33,'Question-Article-Match'!$C:$C,C33,'Question-Article-Match'!$F:$F,"indirect match")&gt;0,"indirect match","no match"))</f>
        <v>no match</v>
      </c>
    </row>
    <row r="34" spans="1:8">
      <c r="A34" s="28" t="s">
        <v>120</v>
      </c>
      <c r="B34" s="28" t="s">
        <v>121</v>
      </c>
      <c r="C34" s="28">
        <v>20</v>
      </c>
      <c r="D34" s="28" t="s">
        <v>113</v>
      </c>
      <c r="E34" s="28" t="s">
        <v>114</v>
      </c>
      <c r="F34" s="28">
        <v>0</v>
      </c>
      <c r="G34" s="28">
        <v>12</v>
      </c>
      <c r="H34" s="28" t="str">
        <f>IF(COUNTIFS('Question-Article-Match'!$A:$A,A34,'Question-Article-Match'!$C:$C,C34,'Question-Article-Match'!$F:$F,"direct match")&gt;0,"direct match",IF(COUNTIFS('Question-Article-Match'!$A:$A,A34,'Question-Article-Match'!$C:$C,C34,'Question-Article-Match'!$F:$F,"indirect match")&gt;0,"indirect match","no match"))</f>
        <v>no match</v>
      </c>
    </row>
    <row r="35" spans="1:8">
      <c r="A35" s="28" t="s">
        <v>120</v>
      </c>
      <c r="B35" s="28" t="s">
        <v>121</v>
      </c>
      <c r="C35" s="28">
        <v>7</v>
      </c>
      <c r="D35" s="28" t="s">
        <v>75</v>
      </c>
      <c r="E35" s="28" t="s">
        <v>76</v>
      </c>
      <c r="F35" s="28">
        <v>0</v>
      </c>
      <c r="G35" s="28">
        <v>13</v>
      </c>
      <c r="H35" s="28" t="str">
        <f>IF(COUNTIFS('Question-Article-Match'!$A:$A,A35,'Question-Article-Match'!$C:$C,C35,'Question-Article-Match'!$F:$F,"direct match")&gt;0,"direct match",IF(COUNTIFS('Question-Article-Match'!$A:$A,A35,'Question-Article-Match'!$C:$C,C35,'Question-Article-Match'!$F:$F,"indirect match")&gt;0,"indirect match","no match"))</f>
        <v>no match</v>
      </c>
    </row>
    <row r="36" spans="1:8">
      <c r="A36" s="28" t="s">
        <v>120</v>
      </c>
      <c r="B36" s="28" t="s">
        <v>121</v>
      </c>
      <c r="C36" s="28">
        <v>9</v>
      </c>
      <c r="D36" s="28" t="s">
        <v>10</v>
      </c>
      <c r="E36" s="28" t="s">
        <v>11</v>
      </c>
      <c r="F36" s="28">
        <v>0</v>
      </c>
      <c r="G36" s="28">
        <v>14</v>
      </c>
      <c r="H36" s="28" t="str">
        <f>IF(COUNTIFS('Question-Article-Match'!$A:$A,A36,'Question-Article-Match'!$C:$C,C36,'Question-Article-Match'!$F:$F,"direct match")&gt;0,"direct match",IF(COUNTIFS('Question-Article-Match'!$A:$A,A36,'Question-Article-Match'!$C:$C,C36,'Question-Article-Match'!$F:$F,"indirect match")&gt;0,"indirect match","no match"))</f>
        <v>no match</v>
      </c>
    </row>
    <row r="37" spans="1:8">
      <c r="A37" s="28" t="s">
        <v>120</v>
      </c>
      <c r="B37" s="28" t="s">
        <v>121</v>
      </c>
      <c r="C37" s="28">
        <v>12</v>
      </c>
      <c r="D37" s="28" t="s">
        <v>20</v>
      </c>
      <c r="E37" s="28" t="s">
        <v>21</v>
      </c>
      <c r="F37" s="28">
        <v>0</v>
      </c>
      <c r="G37" s="28">
        <v>15</v>
      </c>
      <c r="H37" s="28" t="str">
        <f>IF(COUNTIFS('Question-Article-Match'!$A:$A,A37,'Question-Article-Match'!$C:$C,C37,'Question-Article-Match'!$F:$F,"direct match")&gt;0,"direct match",IF(COUNTIFS('Question-Article-Match'!$A:$A,A37,'Question-Article-Match'!$C:$C,C37,'Question-Article-Match'!$F:$F,"indirect match")&gt;0,"indirect match","no match"))</f>
        <v>no match</v>
      </c>
    </row>
    <row r="38" spans="1:8">
      <c r="A38" s="28" t="s">
        <v>120</v>
      </c>
      <c r="B38" s="28" t="s">
        <v>121</v>
      </c>
      <c r="C38" s="28">
        <v>5</v>
      </c>
      <c r="D38" s="28" t="s">
        <v>36</v>
      </c>
      <c r="E38" s="28" t="s">
        <v>37</v>
      </c>
      <c r="F38" s="28">
        <v>0</v>
      </c>
      <c r="G38" s="28">
        <v>16</v>
      </c>
      <c r="H38" s="28" t="str">
        <f>IF(COUNTIFS('Question-Article-Match'!$A:$A,A38,'Question-Article-Match'!$C:$C,C38,'Question-Article-Match'!$F:$F,"direct match")&gt;0,"direct match",IF(COUNTIFS('Question-Article-Match'!$A:$A,A38,'Question-Article-Match'!$C:$C,C38,'Question-Article-Match'!$F:$F,"indirect match")&gt;0,"indirect match","no match"))</f>
        <v>no match</v>
      </c>
    </row>
    <row r="39" spans="1:8">
      <c r="A39" s="28" t="s">
        <v>120</v>
      </c>
      <c r="B39" s="28" t="s">
        <v>121</v>
      </c>
      <c r="C39" s="28">
        <v>10</v>
      </c>
      <c r="D39" s="28" t="s">
        <v>32</v>
      </c>
      <c r="E39" s="28" t="s">
        <v>33</v>
      </c>
      <c r="F39" s="28">
        <v>0</v>
      </c>
      <c r="G39" s="28">
        <v>17</v>
      </c>
      <c r="H39" s="28" t="str">
        <f>IF(COUNTIFS('Question-Article-Match'!$A:$A,A39,'Question-Article-Match'!$C:$C,C39,'Question-Article-Match'!$F:$F,"direct match")&gt;0,"direct match",IF(COUNTIFS('Question-Article-Match'!$A:$A,A39,'Question-Article-Match'!$C:$C,C39,'Question-Article-Match'!$F:$F,"indirect match")&gt;0,"indirect match","no match"))</f>
        <v>no match</v>
      </c>
    </row>
    <row r="40" spans="1:8">
      <c r="A40" s="28" t="s">
        <v>120</v>
      </c>
      <c r="B40" s="28" t="s">
        <v>121</v>
      </c>
      <c r="C40" s="28">
        <v>8</v>
      </c>
      <c r="D40" s="28" t="s">
        <v>40</v>
      </c>
      <c r="E40" s="28" t="s">
        <v>41</v>
      </c>
      <c r="F40" s="28">
        <v>0</v>
      </c>
      <c r="G40" s="28">
        <v>18</v>
      </c>
      <c r="H40" s="28" t="str">
        <f>IF(COUNTIFS('Question-Article-Match'!$A:$A,A40,'Question-Article-Match'!$C:$C,C40,'Question-Article-Match'!$F:$F,"direct match")&gt;0,"direct match",IF(COUNTIFS('Question-Article-Match'!$A:$A,A40,'Question-Article-Match'!$C:$C,C40,'Question-Article-Match'!$F:$F,"indirect match")&gt;0,"indirect match","no match"))</f>
        <v>no match</v>
      </c>
    </row>
    <row r="41" spans="1:8">
      <c r="A41" s="28" t="s">
        <v>120</v>
      </c>
      <c r="B41" s="28" t="s">
        <v>121</v>
      </c>
      <c r="C41" s="28">
        <v>4</v>
      </c>
      <c r="D41" s="28" t="s">
        <v>64</v>
      </c>
      <c r="E41" s="28" t="s">
        <v>65</v>
      </c>
      <c r="F41" s="28">
        <v>0</v>
      </c>
      <c r="G41" s="28">
        <v>19</v>
      </c>
      <c r="H41" s="28" t="str">
        <f>IF(COUNTIFS('Question-Article-Match'!$A:$A,A41,'Question-Article-Match'!$C:$C,C41,'Question-Article-Match'!$F:$F,"direct match")&gt;0,"direct match",IF(COUNTIFS('Question-Article-Match'!$A:$A,A41,'Question-Article-Match'!$C:$C,C41,'Question-Article-Match'!$F:$F,"indirect match")&gt;0,"indirect match","no match"))</f>
        <v>no match</v>
      </c>
    </row>
    <row r="42" spans="1:8">
      <c r="A42" s="28" t="s">
        <v>120</v>
      </c>
      <c r="B42" s="28" t="s">
        <v>121</v>
      </c>
      <c r="C42" s="28">
        <v>6</v>
      </c>
      <c r="D42" s="28" t="s">
        <v>28</v>
      </c>
      <c r="E42" s="28" t="s">
        <v>29</v>
      </c>
      <c r="F42" s="28">
        <v>0</v>
      </c>
      <c r="G42" s="28">
        <v>20</v>
      </c>
      <c r="H42" s="28" t="str">
        <f>IF(COUNTIFS('Question-Article-Match'!$A:$A,A42,'Question-Article-Match'!$C:$C,C42,'Question-Article-Match'!$F:$F,"direct match")&gt;0,"direct match",IF(COUNTIFS('Question-Article-Match'!$A:$A,A42,'Question-Article-Match'!$C:$C,C42,'Question-Article-Match'!$F:$F,"indirect match")&gt;0,"indirect match","no match"))</f>
        <v>no match</v>
      </c>
    </row>
    <row r="43" spans="1:8">
      <c r="A43" s="28" t="s">
        <v>120</v>
      </c>
      <c r="B43" s="28" t="s">
        <v>121</v>
      </c>
      <c r="C43" s="28">
        <v>15</v>
      </c>
      <c r="D43" s="28" t="s">
        <v>42</v>
      </c>
      <c r="E43" s="28" t="s">
        <v>43</v>
      </c>
      <c r="F43" s="28">
        <v>0</v>
      </c>
      <c r="G43" s="28">
        <v>21</v>
      </c>
      <c r="H43" s="28" t="str">
        <f>IF(COUNTIFS('Question-Article-Match'!$A:$A,A43,'Question-Article-Match'!$C:$C,C43,'Question-Article-Match'!$F:$F,"direct match")&gt;0,"direct match",IF(COUNTIFS('Question-Article-Match'!$A:$A,A43,'Question-Article-Match'!$C:$C,C43,'Question-Article-Match'!$F:$F,"indirect match")&gt;0,"indirect match","no match"))</f>
        <v>no match</v>
      </c>
    </row>
    <row r="44" spans="1:8">
      <c r="A44" s="28" t="s">
        <v>123</v>
      </c>
      <c r="B44" s="28" t="s">
        <v>124</v>
      </c>
      <c r="C44" s="28">
        <v>14</v>
      </c>
      <c r="D44" s="28" t="s">
        <v>16</v>
      </c>
      <c r="E44" s="28" t="s">
        <v>17</v>
      </c>
      <c r="F44" s="28">
        <v>0.2</v>
      </c>
      <c r="G44" s="28">
        <v>1</v>
      </c>
      <c r="H44" s="28" t="str">
        <f>IF(COUNTIFS('Question-Article-Match'!$A:$A,A44,'Question-Article-Match'!$C:$C,C44,'Question-Article-Match'!$F:$F,"direct match")&gt;0,"direct match",IF(COUNTIFS('Question-Article-Match'!$A:$A,A44,'Question-Article-Match'!$C:$C,C44,'Question-Article-Match'!$F:$F,"indirect match")&gt;0,"indirect match","no match"))</f>
        <v>no match</v>
      </c>
    </row>
    <row r="45" spans="1:8">
      <c r="A45" s="28" t="s">
        <v>123</v>
      </c>
      <c r="B45" s="28" t="s">
        <v>124</v>
      </c>
      <c r="C45" s="28">
        <v>16</v>
      </c>
      <c r="D45" s="28" t="s">
        <v>12</v>
      </c>
      <c r="E45" s="28" t="s">
        <v>13</v>
      </c>
      <c r="F45" s="28">
        <v>0.2</v>
      </c>
      <c r="G45" s="28">
        <v>2</v>
      </c>
      <c r="H45" s="28" t="str">
        <f>IF(COUNTIFS('Question-Article-Match'!$A:$A,A45,'Question-Article-Match'!$C:$C,C45,'Question-Article-Match'!$F:$F,"direct match")&gt;0,"direct match",IF(COUNTIFS('Question-Article-Match'!$A:$A,A45,'Question-Article-Match'!$C:$C,C45,'Question-Article-Match'!$F:$F,"indirect match")&gt;0,"indirect match","no match"))</f>
        <v>no match</v>
      </c>
    </row>
    <row r="46" spans="1:8">
      <c r="A46" s="28" t="s">
        <v>123</v>
      </c>
      <c r="B46" s="28" t="s">
        <v>124</v>
      </c>
      <c r="C46" s="28">
        <v>3</v>
      </c>
      <c r="D46" s="28" t="s">
        <v>26</v>
      </c>
      <c r="E46" s="28" t="s">
        <v>27</v>
      </c>
      <c r="F46" s="28">
        <v>0.2</v>
      </c>
      <c r="G46" s="28">
        <v>3</v>
      </c>
      <c r="H46" s="28" t="str">
        <f>IF(COUNTIFS('Question-Article-Match'!$A:$A,A46,'Question-Article-Match'!$C:$C,C46,'Question-Article-Match'!$F:$F,"direct match")&gt;0,"direct match",IF(COUNTIFS('Question-Article-Match'!$A:$A,A46,'Question-Article-Match'!$C:$C,C46,'Question-Article-Match'!$F:$F,"indirect match")&gt;0,"indirect match","no match"))</f>
        <v>no match</v>
      </c>
    </row>
    <row r="47" spans="1:8">
      <c r="A47" s="28" t="s">
        <v>123</v>
      </c>
      <c r="B47" s="28" t="s">
        <v>124</v>
      </c>
      <c r="C47" s="28">
        <v>9</v>
      </c>
      <c r="D47" s="28" t="s">
        <v>10</v>
      </c>
      <c r="E47" s="28" t="s">
        <v>11</v>
      </c>
      <c r="F47" s="28">
        <v>0.1</v>
      </c>
      <c r="G47" s="28">
        <v>4</v>
      </c>
      <c r="H47" s="28" t="str">
        <f>IF(COUNTIFS('Question-Article-Match'!$A:$A,A47,'Question-Article-Match'!$C:$C,C47,'Question-Article-Match'!$F:$F,"direct match")&gt;0,"direct match",IF(COUNTIFS('Question-Article-Match'!$A:$A,A47,'Question-Article-Match'!$C:$C,C47,'Question-Article-Match'!$F:$F,"indirect match")&gt;0,"indirect match","no match"))</f>
        <v>indirect match</v>
      </c>
    </row>
    <row r="48" spans="1:8">
      <c r="A48" s="28" t="s">
        <v>123</v>
      </c>
      <c r="B48" s="28" t="s">
        <v>124</v>
      </c>
      <c r="C48" s="28">
        <v>1</v>
      </c>
      <c r="D48" s="28" t="s">
        <v>22</v>
      </c>
      <c r="E48" s="28" t="s">
        <v>23</v>
      </c>
      <c r="F48" s="28">
        <v>0.1</v>
      </c>
      <c r="G48" s="28">
        <v>5</v>
      </c>
      <c r="H48" s="28" t="str">
        <f>IF(COUNTIFS('Question-Article-Match'!$A:$A,A48,'Question-Article-Match'!$C:$C,C48,'Question-Article-Match'!$F:$F,"direct match")&gt;0,"direct match",IF(COUNTIFS('Question-Article-Match'!$A:$A,A48,'Question-Article-Match'!$C:$C,C48,'Question-Article-Match'!$F:$F,"indirect match")&gt;0,"indirect match","no match"))</f>
        <v>indirect match</v>
      </c>
    </row>
    <row r="49" spans="1:8">
      <c r="A49" s="28" t="s">
        <v>123</v>
      </c>
      <c r="B49" s="28" t="s">
        <v>124</v>
      </c>
      <c r="C49" s="28">
        <v>19</v>
      </c>
      <c r="D49" s="28" t="s">
        <v>14</v>
      </c>
      <c r="E49" s="28" t="s">
        <v>15</v>
      </c>
      <c r="F49" s="28">
        <v>0.1</v>
      </c>
      <c r="G49" s="28">
        <v>6</v>
      </c>
      <c r="H49" s="28" t="str">
        <f>IF(COUNTIFS('Question-Article-Match'!$A:$A,A49,'Question-Article-Match'!$C:$C,C49,'Question-Article-Match'!$F:$F,"direct match")&gt;0,"direct match",IF(COUNTIFS('Question-Article-Match'!$A:$A,A49,'Question-Article-Match'!$C:$C,C49,'Question-Article-Match'!$F:$F,"indirect match")&gt;0,"indirect match","no match"))</f>
        <v>no match</v>
      </c>
    </row>
    <row r="50" spans="1:8">
      <c r="A50" s="28" t="s">
        <v>123</v>
      </c>
      <c r="B50" s="28" t="s">
        <v>124</v>
      </c>
      <c r="C50" s="28">
        <v>11</v>
      </c>
      <c r="D50" s="28" t="s">
        <v>89</v>
      </c>
      <c r="E50" s="28" t="s">
        <v>90</v>
      </c>
      <c r="F50" s="28">
        <v>0</v>
      </c>
      <c r="G50" s="28">
        <v>7</v>
      </c>
      <c r="H50" s="28" t="str">
        <f>IF(COUNTIFS('Question-Article-Match'!$A:$A,A50,'Question-Article-Match'!$C:$C,C50,'Question-Article-Match'!$F:$F,"direct match")&gt;0,"direct match",IF(COUNTIFS('Question-Article-Match'!$A:$A,A50,'Question-Article-Match'!$C:$C,C50,'Question-Article-Match'!$F:$F,"indirect match")&gt;0,"indirect match","no match"))</f>
        <v>no match</v>
      </c>
    </row>
    <row r="51" spans="1:8">
      <c r="A51" s="28" t="s">
        <v>123</v>
      </c>
      <c r="B51" s="28" t="s">
        <v>124</v>
      </c>
      <c r="C51" s="28">
        <v>17</v>
      </c>
      <c r="D51" s="28" t="s">
        <v>108</v>
      </c>
      <c r="E51" s="28" t="s">
        <v>109</v>
      </c>
      <c r="F51" s="28">
        <v>0</v>
      </c>
      <c r="G51" s="28">
        <v>8</v>
      </c>
      <c r="H51" s="28" t="str">
        <f>IF(COUNTIFS('Question-Article-Match'!$A:$A,A51,'Question-Article-Match'!$C:$C,C51,'Question-Article-Match'!$F:$F,"direct match")&gt;0,"direct match",IF(COUNTIFS('Question-Article-Match'!$A:$A,A51,'Question-Article-Match'!$C:$C,C51,'Question-Article-Match'!$F:$F,"indirect match")&gt;0,"indirect match","no match"))</f>
        <v>no match</v>
      </c>
    </row>
    <row r="52" spans="1:8">
      <c r="A52" s="28" t="s">
        <v>123</v>
      </c>
      <c r="B52" s="28" t="s">
        <v>124</v>
      </c>
      <c r="C52" s="28">
        <v>20</v>
      </c>
      <c r="D52" s="28" t="s">
        <v>113</v>
      </c>
      <c r="E52" s="28" t="s">
        <v>114</v>
      </c>
      <c r="F52" s="28">
        <v>0</v>
      </c>
      <c r="G52" s="28">
        <v>9</v>
      </c>
      <c r="H52" s="28" t="str">
        <f>IF(COUNTIFS('Question-Article-Match'!$A:$A,A52,'Question-Article-Match'!$C:$C,C52,'Question-Article-Match'!$F:$F,"direct match")&gt;0,"direct match",IF(COUNTIFS('Question-Article-Match'!$A:$A,A52,'Question-Article-Match'!$C:$C,C52,'Question-Article-Match'!$F:$F,"indirect match")&gt;0,"indirect match","no match"))</f>
        <v>no match</v>
      </c>
    </row>
    <row r="53" spans="1:8">
      <c r="A53" s="28" t="s">
        <v>123</v>
      </c>
      <c r="B53" s="28" t="s">
        <v>124</v>
      </c>
      <c r="C53" s="28">
        <v>7</v>
      </c>
      <c r="D53" s="28" t="s">
        <v>75</v>
      </c>
      <c r="E53" s="28" t="s">
        <v>76</v>
      </c>
      <c r="F53" s="28">
        <v>0</v>
      </c>
      <c r="G53" s="28">
        <v>10</v>
      </c>
      <c r="H53" s="28" t="str">
        <f>IF(COUNTIFS('Question-Article-Match'!$A:$A,A53,'Question-Article-Match'!$C:$C,C53,'Question-Article-Match'!$F:$F,"direct match")&gt;0,"direct match",IF(COUNTIFS('Question-Article-Match'!$A:$A,A53,'Question-Article-Match'!$C:$C,C53,'Question-Article-Match'!$F:$F,"indirect match")&gt;0,"indirect match","no match"))</f>
        <v>no match</v>
      </c>
    </row>
    <row r="54" spans="1:8">
      <c r="A54" s="28" t="s">
        <v>123</v>
      </c>
      <c r="B54" s="28" t="s">
        <v>124</v>
      </c>
      <c r="C54" s="28">
        <v>13</v>
      </c>
      <c r="D54" s="28" t="s">
        <v>34</v>
      </c>
      <c r="E54" s="28" t="s">
        <v>35</v>
      </c>
      <c r="F54" s="28">
        <v>0</v>
      </c>
      <c r="G54" s="28">
        <v>11</v>
      </c>
      <c r="H54" s="28" t="str">
        <f>IF(COUNTIFS('Question-Article-Match'!$A:$A,A54,'Question-Article-Match'!$C:$C,C54,'Question-Article-Match'!$F:$F,"direct match")&gt;0,"direct match",IF(COUNTIFS('Question-Article-Match'!$A:$A,A54,'Question-Article-Match'!$C:$C,C54,'Question-Article-Match'!$F:$F,"indirect match")&gt;0,"indirect match","no match"))</f>
        <v>no match</v>
      </c>
    </row>
    <row r="55" spans="1:8">
      <c r="A55" s="28" t="s">
        <v>123</v>
      </c>
      <c r="B55" s="28" t="s">
        <v>124</v>
      </c>
      <c r="C55" s="28">
        <v>12</v>
      </c>
      <c r="D55" s="28" t="s">
        <v>20</v>
      </c>
      <c r="E55" s="28" t="s">
        <v>21</v>
      </c>
      <c r="F55" s="28">
        <v>0</v>
      </c>
      <c r="G55" s="28">
        <v>12</v>
      </c>
      <c r="H55" s="28" t="str">
        <f>IF(COUNTIFS('Question-Article-Match'!$A:$A,A55,'Question-Article-Match'!$C:$C,C55,'Question-Article-Match'!$F:$F,"direct match")&gt;0,"direct match",IF(COUNTIFS('Question-Article-Match'!$A:$A,A55,'Question-Article-Match'!$C:$C,C55,'Question-Article-Match'!$F:$F,"indirect match")&gt;0,"indirect match","no match"))</f>
        <v>no match</v>
      </c>
    </row>
    <row r="56" spans="1:8">
      <c r="A56" s="28" t="s">
        <v>123</v>
      </c>
      <c r="B56" s="28" t="s">
        <v>124</v>
      </c>
      <c r="C56" s="28">
        <v>5</v>
      </c>
      <c r="D56" s="28" t="s">
        <v>36</v>
      </c>
      <c r="E56" s="28" t="s">
        <v>37</v>
      </c>
      <c r="F56" s="28">
        <v>0</v>
      </c>
      <c r="G56" s="28">
        <v>13</v>
      </c>
      <c r="H56" s="28" t="str">
        <f>IF(COUNTIFS('Question-Article-Match'!$A:$A,A56,'Question-Article-Match'!$C:$C,C56,'Question-Article-Match'!$F:$F,"direct match")&gt;0,"direct match",IF(COUNTIFS('Question-Article-Match'!$A:$A,A56,'Question-Article-Match'!$C:$C,C56,'Question-Article-Match'!$F:$F,"indirect match")&gt;0,"indirect match","no match"))</f>
        <v>no match</v>
      </c>
    </row>
    <row r="57" spans="1:8">
      <c r="A57" s="28" t="s">
        <v>123</v>
      </c>
      <c r="B57" s="28" t="s">
        <v>124</v>
      </c>
      <c r="C57" s="28">
        <v>10</v>
      </c>
      <c r="D57" s="28" t="s">
        <v>32</v>
      </c>
      <c r="E57" s="28" t="s">
        <v>33</v>
      </c>
      <c r="F57" s="28">
        <v>0</v>
      </c>
      <c r="G57" s="28">
        <v>14</v>
      </c>
      <c r="H57" s="28" t="str">
        <f>IF(COUNTIFS('Question-Article-Match'!$A:$A,A57,'Question-Article-Match'!$C:$C,C57,'Question-Article-Match'!$F:$F,"direct match")&gt;0,"direct match",IF(COUNTIFS('Question-Article-Match'!$A:$A,A57,'Question-Article-Match'!$C:$C,C57,'Question-Article-Match'!$F:$F,"indirect match")&gt;0,"indirect match","no match"))</f>
        <v>no match</v>
      </c>
    </row>
    <row r="58" spans="1:8">
      <c r="A58" s="28" t="s">
        <v>123</v>
      </c>
      <c r="B58" s="28" t="s">
        <v>124</v>
      </c>
      <c r="C58" s="28">
        <v>21</v>
      </c>
      <c r="D58" s="28" t="s">
        <v>46</v>
      </c>
      <c r="E58" s="28" t="s">
        <v>47</v>
      </c>
      <c r="F58" s="28">
        <v>0</v>
      </c>
      <c r="G58" s="28">
        <v>15</v>
      </c>
      <c r="H58" s="28" t="str">
        <f>IF(COUNTIFS('Question-Article-Match'!$A:$A,A58,'Question-Article-Match'!$C:$C,C58,'Question-Article-Match'!$F:$F,"direct match")&gt;0,"direct match",IF(COUNTIFS('Question-Article-Match'!$A:$A,A58,'Question-Article-Match'!$C:$C,C58,'Question-Article-Match'!$F:$F,"indirect match")&gt;0,"indirect match","no match"))</f>
        <v>no match</v>
      </c>
    </row>
    <row r="59" spans="1:8">
      <c r="A59" s="28" t="s">
        <v>123</v>
      </c>
      <c r="B59" s="28" t="s">
        <v>124</v>
      </c>
      <c r="C59" s="28">
        <v>8</v>
      </c>
      <c r="D59" s="28" t="s">
        <v>40</v>
      </c>
      <c r="E59" s="28" t="s">
        <v>41</v>
      </c>
      <c r="F59" s="28">
        <v>0</v>
      </c>
      <c r="G59" s="28">
        <v>16</v>
      </c>
      <c r="H59" s="28" t="str">
        <f>IF(COUNTIFS('Question-Article-Match'!$A:$A,A59,'Question-Article-Match'!$C:$C,C59,'Question-Article-Match'!$F:$F,"direct match")&gt;0,"direct match",IF(COUNTIFS('Question-Article-Match'!$A:$A,A59,'Question-Article-Match'!$C:$C,C59,'Question-Article-Match'!$F:$F,"indirect match")&gt;0,"indirect match","no match"))</f>
        <v>no match</v>
      </c>
    </row>
    <row r="60" spans="1:8">
      <c r="A60" s="28" t="s">
        <v>123</v>
      </c>
      <c r="B60" s="28" t="s">
        <v>124</v>
      </c>
      <c r="C60" s="28">
        <v>2</v>
      </c>
      <c r="D60" s="28" t="s">
        <v>18</v>
      </c>
      <c r="E60" s="28" t="s">
        <v>19</v>
      </c>
      <c r="F60" s="28">
        <v>0</v>
      </c>
      <c r="G60" s="28">
        <v>17</v>
      </c>
      <c r="H60" s="28" t="str">
        <f>IF(COUNTIFS('Question-Article-Match'!$A:$A,A60,'Question-Article-Match'!$C:$C,C60,'Question-Article-Match'!$F:$F,"direct match")&gt;0,"direct match",IF(COUNTIFS('Question-Article-Match'!$A:$A,A60,'Question-Article-Match'!$C:$C,C60,'Question-Article-Match'!$F:$F,"indirect match")&gt;0,"indirect match","no match"))</f>
        <v>indirect match</v>
      </c>
    </row>
    <row r="61" spans="1:8">
      <c r="A61" s="28" t="s">
        <v>123</v>
      </c>
      <c r="B61" s="28" t="s">
        <v>124</v>
      </c>
      <c r="C61" s="28">
        <v>18</v>
      </c>
      <c r="D61" s="28" t="s">
        <v>24</v>
      </c>
      <c r="E61" s="28" t="s">
        <v>25</v>
      </c>
      <c r="F61" s="28">
        <v>0</v>
      </c>
      <c r="G61" s="28">
        <v>18</v>
      </c>
      <c r="H61" s="28" t="str">
        <f>IF(COUNTIFS('Question-Article-Match'!$A:$A,A61,'Question-Article-Match'!$C:$C,C61,'Question-Article-Match'!$F:$F,"direct match")&gt;0,"direct match",IF(COUNTIFS('Question-Article-Match'!$A:$A,A61,'Question-Article-Match'!$C:$C,C61,'Question-Article-Match'!$F:$F,"indirect match")&gt;0,"indirect match","no match"))</f>
        <v>no match</v>
      </c>
    </row>
    <row r="62" spans="1:8">
      <c r="A62" s="28" t="s">
        <v>123</v>
      </c>
      <c r="B62" s="28" t="s">
        <v>124</v>
      </c>
      <c r="C62" s="28">
        <v>4</v>
      </c>
      <c r="D62" s="28" t="s">
        <v>64</v>
      </c>
      <c r="E62" s="28" t="s">
        <v>65</v>
      </c>
      <c r="F62" s="28">
        <v>0</v>
      </c>
      <c r="G62" s="28">
        <v>19</v>
      </c>
      <c r="H62" s="28" t="str">
        <f>IF(COUNTIFS('Question-Article-Match'!$A:$A,A62,'Question-Article-Match'!$C:$C,C62,'Question-Article-Match'!$F:$F,"direct match")&gt;0,"direct match",IF(COUNTIFS('Question-Article-Match'!$A:$A,A62,'Question-Article-Match'!$C:$C,C62,'Question-Article-Match'!$F:$F,"indirect match")&gt;0,"indirect match","no match"))</f>
        <v>no match</v>
      </c>
    </row>
    <row r="63" spans="1:8">
      <c r="A63" s="28" t="s">
        <v>123</v>
      </c>
      <c r="B63" s="28" t="s">
        <v>124</v>
      </c>
      <c r="C63" s="28">
        <v>6</v>
      </c>
      <c r="D63" s="28" t="s">
        <v>28</v>
      </c>
      <c r="E63" s="28" t="s">
        <v>29</v>
      </c>
      <c r="F63" s="28">
        <v>0</v>
      </c>
      <c r="G63" s="28">
        <v>20</v>
      </c>
      <c r="H63" s="28" t="str">
        <f>IF(COUNTIFS('Question-Article-Match'!$A:$A,A63,'Question-Article-Match'!$C:$C,C63,'Question-Article-Match'!$F:$F,"direct match")&gt;0,"direct match",IF(COUNTIFS('Question-Article-Match'!$A:$A,A63,'Question-Article-Match'!$C:$C,C63,'Question-Article-Match'!$F:$F,"indirect match")&gt;0,"indirect match","no match"))</f>
        <v>no match</v>
      </c>
    </row>
    <row r="64" spans="1:8">
      <c r="A64" s="28" t="s">
        <v>123</v>
      </c>
      <c r="B64" s="28" t="s">
        <v>124</v>
      </c>
      <c r="C64" s="28">
        <v>15</v>
      </c>
      <c r="D64" s="28" t="s">
        <v>42</v>
      </c>
      <c r="E64" s="28" t="s">
        <v>43</v>
      </c>
      <c r="F64" s="28">
        <v>0</v>
      </c>
      <c r="G64" s="28">
        <v>21</v>
      </c>
      <c r="H64" s="28" t="str">
        <f>IF(COUNTIFS('Question-Article-Match'!$A:$A,A64,'Question-Article-Match'!$C:$C,C64,'Question-Article-Match'!$F:$F,"direct match")&gt;0,"direct match",IF(COUNTIFS('Question-Article-Match'!$A:$A,A64,'Question-Article-Match'!$C:$C,C64,'Question-Article-Match'!$F:$F,"indirect match")&gt;0,"indirect match","no match"))</f>
        <v>no match</v>
      </c>
    </row>
    <row r="65" spans="1:8">
      <c r="A65" s="28" t="s">
        <v>126</v>
      </c>
      <c r="B65" s="28" t="s">
        <v>127</v>
      </c>
      <c r="C65" s="28">
        <v>1</v>
      </c>
      <c r="D65" s="28" t="s">
        <v>22</v>
      </c>
      <c r="E65" s="28" t="s">
        <v>23</v>
      </c>
      <c r="F65" s="28">
        <v>0.7</v>
      </c>
      <c r="G65" s="28">
        <v>1</v>
      </c>
      <c r="H65" s="28" t="str">
        <f>IF(COUNTIFS('Question-Article-Match'!$A:$A,A65,'Question-Article-Match'!$C:$C,C65,'Question-Article-Match'!$F:$F,"direct match")&gt;0,"direct match",IF(COUNTIFS('Question-Article-Match'!$A:$A,A65,'Question-Article-Match'!$C:$C,C65,'Question-Article-Match'!$F:$F,"indirect match")&gt;0,"indirect match","no match"))</f>
        <v>direct match</v>
      </c>
    </row>
    <row r="66" spans="1:8">
      <c r="A66" s="28" t="s">
        <v>126</v>
      </c>
      <c r="B66" s="28" t="s">
        <v>127</v>
      </c>
      <c r="C66" s="28">
        <v>2</v>
      </c>
      <c r="D66" s="28" t="s">
        <v>18</v>
      </c>
      <c r="E66" s="28" t="s">
        <v>19</v>
      </c>
      <c r="F66" s="28">
        <v>0.5</v>
      </c>
      <c r="G66" s="28">
        <v>2</v>
      </c>
      <c r="H66" s="28" t="str">
        <f>IF(COUNTIFS('Question-Article-Match'!$A:$A,A66,'Question-Article-Match'!$C:$C,C66,'Question-Article-Match'!$F:$F,"direct match")&gt;0,"direct match",IF(COUNTIFS('Question-Article-Match'!$A:$A,A66,'Question-Article-Match'!$C:$C,C66,'Question-Article-Match'!$F:$F,"indirect match")&gt;0,"indirect match","no match"))</f>
        <v>direct match</v>
      </c>
    </row>
    <row r="67" spans="1:8">
      <c r="A67" s="28" t="s">
        <v>126</v>
      </c>
      <c r="B67" s="28" t="s">
        <v>127</v>
      </c>
      <c r="C67" s="28">
        <v>3</v>
      </c>
      <c r="D67" s="28" t="s">
        <v>26</v>
      </c>
      <c r="E67" s="28" t="s">
        <v>27</v>
      </c>
      <c r="F67" s="28">
        <v>0.5</v>
      </c>
      <c r="G67" s="28">
        <v>3</v>
      </c>
      <c r="H67" s="28" t="str">
        <f>IF(COUNTIFS('Question-Article-Match'!$A:$A,A67,'Question-Article-Match'!$C:$C,C67,'Question-Article-Match'!$F:$F,"direct match")&gt;0,"direct match",IF(COUNTIFS('Question-Article-Match'!$A:$A,A67,'Question-Article-Match'!$C:$C,C67,'Question-Article-Match'!$F:$F,"indirect match")&gt;0,"indirect match","no match"))</f>
        <v>no match</v>
      </c>
    </row>
    <row r="68" spans="1:8">
      <c r="A68" s="28" t="s">
        <v>126</v>
      </c>
      <c r="B68" s="28" t="s">
        <v>127</v>
      </c>
      <c r="C68" s="28">
        <v>21</v>
      </c>
      <c r="D68" s="28" t="s">
        <v>46</v>
      </c>
      <c r="E68" s="28" t="s">
        <v>47</v>
      </c>
      <c r="F68" s="28">
        <v>0.2</v>
      </c>
      <c r="G68" s="28">
        <v>4</v>
      </c>
      <c r="H68" s="28" t="str">
        <f>IF(COUNTIFS('Question-Article-Match'!$A:$A,A68,'Question-Article-Match'!$C:$C,C68,'Question-Article-Match'!$F:$F,"direct match")&gt;0,"direct match",IF(COUNTIFS('Question-Article-Match'!$A:$A,A68,'Question-Article-Match'!$C:$C,C68,'Question-Article-Match'!$F:$F,"indirect match")&gt;0,"indirect match","no match"))</f>
        <v>no match</v>
      </c>
    </row>
    <row r="69" spans="1:8">
      <c r="A69" s="28" t="s">
        <v>126</v>
      </c>
      <c r="B69" s="28" t="s">
        <v>127</v>
      </c>
      <c r="C69" s="28">
        <v>17</v>
      </c>
      <c r="D69" s="28" t="s">
        <v>108</v>
      </c>
      <c r="E69" s="28" t="s">
        <v>109</v>
      </c>
      <c r="F69" s="28">
        <v>0.1</v>
      </c>
      <c r="G69" s="28">
        <v>5</v>
      </c>
      <c r="H69" s="28" t="str">
        <f>IF(COUNTIFS('Question-Article-Match'!$A:$A,A69,'Question-Article-Match'!$C:$C,C69,'Question-Article-Match'!$F:$F,"direct match")&gt;0,"direct match",IF(COUNTIFS('Question-Article-Match'!$A:$A,A69,'Question-Article-Match'!$C:$C,C69,'Question-Article-Match'!$F:$F,"indirect match")&gt;0,"indirect match","no match"))</f>
        <v>no match</v>
      </c>
    </row>
    <row r="70" spans="1:8">
      <c r="A70" s="28" t="s">
        <v>126</v>
      </c>
      <c r="B70" s="28" t="s">
        <v>127</v>
      </c>
      <c r="C70" s="28">
        <v>9</v>
      </c>
      <c r="D70" s="28" t="s">
        <v>10</v>
      </c>
      <c r="E70" s="28" t="s">
        <v>11</v>
      </c>
      <c r="F70" s="28">
        <v>0.1</v>
      </c>
      <c r="G70" s="28">
        <v>6</v>
      </c>
      <c r="H70" s="28" t="str">
        <f>IF(COUNTIFS('Question-Article-Match'!$A:$A,A70,'Question-Article-Match'!$C:$C,C70,'Question-Article-Match'!$F:$F,"direct match")&gt;0,"direct match",IF(COUNTIFS('Question-Article-Match'!$A:$A,A70,'Question-Article-Match'!$C:$C,C70,'Question-Article-Match'!$F:$F,"indirect match")&gt;0,"indirect match","no match"))</f>
        <v>no match</v>
      </c>
    </row>
    <row r="71" spans="1:8">
      <c r="A71" s="28" t="s">
        <v>126</v>
      </c>
      <c r="B71" s="28" t="s">
        <v>127</v>
      </c>
      <c r="C71" s="28">
        <v>13</v>
      </c>
      <c r="D71" s="28" t="s">
        <v>34</v>
      </c>
      <c r="E71" s="28" t="s">
        <v>35</v>
      </c>
      <c r="F71" s="28">
        <v>0.1</v>
      </c>
      <c r="G71" s="28">
        <v>7</v>
      </c>
      <c r="H71" s="28" t="str">
        <f>IF(COUNTIFS('Question-Article-Match'!$A:$A,A71,'Question-Article-Match'!$C:$C,C71,'Question-Article-Match'!$F:$F,"direct match")&gt;0,"direct match",IF(COUNTIFS('Question-Article-Match'!$A:$A,A71,'Question-Article-Match'!$C:$C,C71,'Question-Article-Match'!$F:$F,"indirect match")&gt;0,"indirect match","no match"))</f>
        <v>no match</v>
      </c>
    </row>
    <row r="72" spans="1:8">
      <c r="A72" s="28" t="s">
        <v>126</v>
      </c>
      <c r="B72" s="28" t="s">
        <v>127</v>
      </c>
      <c r="C72" s="28">
        <v>14</v>
      </c>
      <c r="D72" s="28" t="s">
        <v>16</v>
      </c>
      <c r="E72" s="28" t="s">
        <v>17</v>
      </c>
      <c r="F72" s="28">
        <v>0.1</v>
      </c>
      <c r="G72" s="28">
        <v>8</v>
      </c>
      <c r="H72" s="28" t="str">
        <f>IF(COUNTIFS('Question-Article-Match'!$A:$A,A72,'Question-Article-Match'!$C:$C,C72,'Question-Article-Match'!$F:$F,"direct match")&gt;0,"direct match",IF(COUNTIFS('Question-Article-Match'!$A:$A,A72,'Question-Article-Match'!$C:$C,C72,'Question-Article-Match'!$F:$F,"indirect match")&gt;0,"indirect match","no match"))</f>
        <v>no match</v>
      </c>
    </row>
    <row r="73" spans="1:8">
      <c r="A73" s="28" t="s">
        <v>126</v>
      </c>
      <c r="B73" s="28" t="s">
        <v>127</v>
      </c>
      <c r="C73" s="28">
        <v>18</v>
      </c>
      <c r="D73" s="28" t="s">
        <v>24</v>
      </c>
      <c r="E73" s="28" t="s">
        <v>25</v>
      </c>
      <c r="F73" s="28">
        <v>0.1</v>
      </c>
      <c r="G73" s="28">
        <v>9</v>
      </c>
      <c r="H73" s="28" t="str">
        <f>IF(COUNTIFS('Question-Article-Match'!$A:$A,A73,'Question-Article-Match'!$C:$C,C73,'Question-Article-Match'!$F:$F,"direct match")&gt;0,"direct match",IF(COUNTIFS('Question-Article-Match'!$A:$A,A73,'Question-Article-Match'!$C:$C,C73,'Question-Article-Match'!$F:$F,"indirect match")&gt;0,"indirect match","no match"))</f>
        <v>no match</v>
      </c>
    </row>
    <row r="74" spans="1:8">
      <c r="A74" s="28" t="s">
        <v>126</v>
      </c>
      <c r="B74" s="28" t="s">
        <v>127</v>
      </c>
      <c r="C74" s="28">
        <v>11</v>
      </c>
      <c r="D74" s="28" t="s">
        <v>89</v>
      </c>
      <c r="E74" s="28" t="s">
        <v>90</v>
      </c>
      <c r="F74" s="28">
        <v>0</v>
      </c>
      <c r="G74" s="28">
        <v>10</v>
      </c>
      <c r="H74" s="28" t="str">
        <f>IF(COUNTIFS('Question-Article-Match'!$A:$A,A74,'Question-Article-Match'!$C:$C,C74,'Question-Article-Match'!$F:$F,"direct match")&gt;0,"direct match",IF(COUNTIFS('Question-Article-Match'!$A:$A,A74,'Question-Article-Match'!$C:$C,C74,'Question-Article-Match'!$F:$F,"indirect match")&gt;0,"indirect match","no match"))</f>
        <v>no match</v>
      </c>
    </row>
    <row r="75" spans="1:8">
      <c r="A75" s="28" t="s">
        <v>126</v>
      </c>
      <c r="B75" s="28" t="s">
        <v>127</v>
      </c>
      <c r="C75" s="28">
        <v>20</v>
      </c>
      <c r="D75" s="28" t="s">
        <v>113</v>
      </c>
      <c r="E75" s="28" t="s">
        <v>114</v>
      </c>
      <c r="F75" s="28">
        <v>0</v>
      </c>
      <c r="G75" s="28">
        <v>11</v>
      </c>
      <c r="H75" s="28" t="str">
        <f>IF(COUNTIFS('Question-Article-Match'!$A:$A,A75,'Question-Article-Match'!$C:$C,C75,'Question-Article-Match'!$F:$F,"direct match")&gt;0,"direct match",IF(COUNTIFS('Question-Article-Match'!$A:$A,A75,'Question-Article-Match'!$C:$C,C75,'Question-Article-Match'!$F:$F,"indirect match")&gt;0,"indirect match","no match"))</f>
        <v>no match</v>
      </c>
    </row>
    <row r="76" spans="1:8">
      <c r="A76" s="28" t="s">
        <v>126</v>
      </c>
      <c r="B76" s="28" t="s">
        <v>127</v>
      </c>
      <c r="C76" s="28">
        <v>7</v>
      </c>
      <c r="D76" s="28" t="s">
        <v>75</v>
      </c>
      <c r="E76" s="28" t="s">
        <v>76</v>
      </c>
      <c r="F76" s="28">
        <v>0</v>
      </c>
      <c r="G76" s="28">
        <v>12</v>
      </c>
      <c r="H76" s="28" t="str">
        <f>IF(COUNTIFS('Question-Article-Match'!$A:$A,A76,'Question-Article-Match'!$C:$C,C76,'Question-Article-Match'!$F:$F,"direct match")&gt;0,"direct match",IF(COUNTIFS('Question-Article-Match'!$A:$A,A76,'Question-Article-Match'!$C:$C,C76,'Question-Article-Match'!$F:$F,"indirect match")&gt;0,"indirect match","no match"))</f>
        <v>no match</v>
      </c>
    </row>
    <row r="77" spans="1:8">
      <c r="A77" s="28" t="s">
        <v>126</v>
      </c>
      <c r="B77" s="28" t="s">
        <v>127</v>
      </c>
      <c r="C77" s="28">
        <v>12</v>
      </c>
      <c r="D77" s="28" t="s">
        <v>20</v>
      </c>
      <c r="E77" s="28" t="s">
        <v>21</v>
      </c>
      <c r="F77" s="28">
        <v>0</v>
      </c>
      <c r="G77" s="28">
        <v>13</v>
      </c>
      <c r="H77" s="28" t="str">
        <f>IF(COUNTIFS('Question-Article-Match'!$A:$A,A77,'Question-Article-Match'!$C:$C,C77,'Question-Article-Match'!$F:$F,"direct match")&gt;0,"direct match",IF(COUNTIFS('Question-Article-Match'!$A:$A,A77,'Question-Article-Match'!$C:$C,C77,'Question-Article-Match'!$F:$F,"indirect match")&gt;0,"indirect match","no match"))</f>
        <v>no match</v>
      </c>
    </row>
    <row r="78" spans="1:8">
      <c r="A78" s="28" t="s">
        <v>126</v>
      </c>
      <c r="B78" s="28" t="s">
        <v>127</v>
      </c>
      <c r="C78" s="28">
        <v>5</v>
      </c>
      <c r="D78" s="28" t="s">
        <v>36</v>
      </c>
      <c r="E78" s="28" t="s">
        <v>37</v>
      </c>
      <c r="F78" s="28">
        <v>0</v>
      </c>
      <c r="G78" s="28">
        <v>14</v>
      </c>
      <c r="H78" s="28" t="str">
        <f>IF(COUNTIFS('Question-Article-Match'!$A:$A,A78,'Question-Article-Match'!$C:$C,C78,'Question-Article-Match'!$F:$F,"direct match")&gt;0,"direct match",IF(COUNTIFS('Question-Article-Match'!$A:$A,A78,'Question-Article-Match'!$C:$C,C78,'Question-Article-Match'!$F:$F,"indirect match")&gt;0,"indirect match","no match"))</f>
        <v>no match</v>
      </c>
    </row>
    <row r="79" spans="1:8">
      <c r="A79" s="28" t="s">
        <v>126</v>
      </c>
      <c r="B79" s="28" t="s">
        <v>127</v>
      </c>
      <c r="C79" s="28">
        <v>10</v>
      </c>
      <c r="D79" s="28" t="s">
        <v>32</v>
      </c>
      <c r="E79" s="28" t="s">
        <v>33</v>
      </c>
      <c r="F79" s="28">
        <v>0</v>
      </c>
      <c r="G79" s="28">
        <v>15</v>
      </c>
      <c r="H79" s="28" t="str">
        <f>IF(COUNTIFS('Question-Article-Match'!$A:$A,A79,'Question-Article-Match'!$C:$C,C79,'Question-Article-Match'!$F:$F,"direct match")&gt;0,"direct match",IF(COUNTIFS('Question-Article-Match'!$A:$A,A79,'Question-Article-Match'!$C:$C,C79,'Question-Article-Match'!$F:$F,"indirect match")&gt;0,"indirect match","no match"))</f>
        <v>no match</v>
      </c>
    </row>
    <row r="80" spans="1:8">
      <c r="A80" s="28" t="s">
        <v>126</v>
      </c>
      <c r="B80" s="28" t="s">
        <v>127</v>
      </c>
      <c r="C80" s="28">
        <v>8</v>
      </c>
      <c r="D80" s="28" t="s">
        <v>40</v>
      </c>
      <c r="E80" s="28" t="s">
        <v>41</v>
      </c>
      <c r="F80" s="28">
        <v>0</v>
      </c>
      <c r="G80" s="28">
        <v>16</v>
      </c>
      <c r="H80" s="28" t="str">
        <f>IF(COUNTIFS('Question-Article-Match'!$A:$A,A80,'Question-Article-Match'!$C:$C,C80,'Question-Article-Match'!$F:$F,"direct match")&gt;0,"direct match",IF(COUNTIFS('Question-Article-Match'!$A:$A,A80,'Question-Article-Match'!$C:$C,C80,'Question-Article-Match'!$F:$F,"indirect match")&gt;0,"indirect match","no match"))</f>
        <v>no match</v>
      </c>
    </row>
    <row r="81" spans="1:8">
      <c r="A81" s="28" t="s">
        <v>126</v>
      </c>
      <c r="B81" s="28" t="s">
        <v>127</v>
      </c>
      <c r="C81" s="28">
        <v>16</v>
      </c>
      <c r="D81" s="28" t="s">
        <v>12</v>
      </c>
      <c r="E81" s="28" t="s">
        <v>13</v>
      </c>
      <c r="F81" s="28">
        <v>0</v>
      </c>
      <c r="G81" s="28">
        <v>17</v>
      </c>
      <c r="H81" s="28" t="str">
        <f>IF(COUNTIFS('Question-Article-Match'!$A:$A,A81,'Question-Article-Match'!$C:$C,C81,'Question-Article-Match'!$F:$F,"direct match")&gt;0,"direct match",IF(COUNTIFS('Question-Article-Match'!$A:$A,A81,'Question-Article-Match'!$C:$C,C81,'Question-Article-Match'!$F:$F,"indirect match")&gt;0,"indirect match","no match"))</f>
        <v>no match</v>
      </c>
    </row>
    <row r="82" spans="1:8">
      <c r="A82" s="28" t="s">
        <v>126</v>
      </c>
      <c r="B82" s="28" t="s">
        <v>127</v>
      </c>
      <c r="C82" s="28">
        <v>4</v>
      </c>
      <c r="D82" s="28" t="s">
        <v>64</v>
      </c>
      <c r="E82" s="28" t="s">
        <v>65</v>
      </c>
      <c r="F82" s="28">
        <v>0</v>
      </c>
      <c r="G82" s="28">
        <v>18</v>
      </c>
      <c r="H82" s="28" t="str">
        <f>IF(COUNTIFS('Question-Article-Match'!$A:$A,A82,'Question-Article-Match'!$C:$C,C82,'Question-Article-Match'!$F:$F,"direct match")&gt;0,"direct match",IF(COUNTIFS('Question-Article-Match'!$A:$A,A82,'Question-Article-Match'!$C:$C,C82,'Question-Article-Match'!$F:$F,"indirect match")&gt;0,"indirect match","no match"))</f>
        <v>no match</v>
      </c>
    </row>
    <row r="83" spans="1:8">
      <c r="A83" s="28" t="s">
        <v>126</v>
      </c>
      <c r="B83" s="28" t="s">
        <v>127</v>
      </c>
      <c r="C83" s="28">
        <v>6</v>
      </c>
      <c r="D83" s="28" t="s">
        <v>28</v>
      </c>
      <c r="E83" s="28" t="s">
        <v>29</v>
      </c>
      <c r="F83" s="28">
        <v>0</v>
      </c>
      <c r="G83" s="28">
        <v>19</v>
      </c>
      <c r="H83" s="28" t="str">
        <f>IF(COUNTIFS('Question-Article-Match'!$A:$A,A83,'Question-Article-Match'!$C:$C,C83,'Question-Article-Match'!$F:$F,"direct match")&gt;0,"direct match",IF(COUNTIFS('Question-Article-Match'!$A:$A,A83,'Question-Article-Match'!$C:$C,C83,'Question-Article-Match'!$F:$F,"indirect match")&gt;0,"indirect match","no match"))</f>
        <v>no match</v>
      </c>
    </row>
    <row r="84" spans="1:8">
      <c r="A84" s="28" t="s">
        <v>126</v>
      </c>
      <c r="B84" s="28" t="s">
        <v>127</v>
      </c>
      <c r="C84" s="28">
        <v>15</v>
      </c>
      <c r="D84" s="28" t="s">
        <v>42</v>
      </c>
      <c r="E84" s="28" t="s">
        <v>43</v>
      </c>
      <c r="F84" s="28">
        <v>0</v>
      </c>
      <c r="G84" s="28">
        <v>20</v>
      </c>
      <c r="H84" s="28" t="str">
        <f>IF(COUNTIFS('Question-Article-Match'!$A:$A,A84,'Question-Article-Match'!$C:$C,C84,'Question-Article-Match'!$F:$F,"direct match")&gt;0,"direct match",IF(COUNTIFS('Question-Article-Match'!$A:$A,A84,'Question-Article-Match'!$C:$C,C84,'Question-Article-Match'!$F:$F,"indirect match")&gt;0,"indirect match","no match"))</f>
        <v>no match</v>
      </c>
    </row>
    <row r="85" spans="1:8">
      <c r="A85" s="28" t="s">
        <v>126</v>
      </c>
      <c r="B85" s="28" t="s">
        <v>127</v>
      </c>
      <c r="C85" s="28">
        <v>19</v>
      </c>
      <c r="D85" s="28" t="s">
        <v>14</v>
      </c>
      <c r="E85" s="28" t="s">
        <v>15</v>
      </c>
      <c r="F85" s="28">
        <v>0</v>
      </c>
      <c r="G85" s="28">
        <v>21</v>
      </c>
      <c r="H85" s="28" t="str">
        <f>IF(COUNTIFS('Question-Article-Match'!$A:$A,A85,'Question-Article-Match'!$C:$C,C85,'Question-Article-Match'!$F:$F,"direct match")&gt;0,"direct match",IF(COUNTIFS('Question-Article-Match'!$A:$A,A85,'Question-Article-Match'!$C:$C,C85,'Question-Article-Match'!$F:$F,"indirect match")&gt;0,"indirect match","no match"))</f>
        <v>no match</v>
      </c>
    </row>
    <row r="86" spans="1:8">
      <c r="A86" s="28" t="s">
        <v>129</v>
      </c>
      <c r="B86" s="28" t="s">
        <v>130</v>
      </c>
      <c r="C86" s="28">
        <v>10</v>
      </c>
      <c r="D86" s="28" t="s">
        <v>32</v>
      </c>
      <c r="E86" s="28" t="s">
        <v>33</v>
      </c>
      <c r="F86" s="28">
        <v>0.6</v>
      </c>
      <c r="G86" s="28">
        <v>1</v>
      </c>
      <c r="H86" s="28" t="str">
        <f>IF(COUNTIFS('Question-Article-Match'!$A:$A,A86,'Question-Article-Match'!$C:$C,C86,'Question-Article-Match'!$F:$F,"direct match")&gt;0,"direct match",IF(COUNTIFS('Question-Article-Match'!$A:$A,A86,'Question-Article-Match'!$C:$C,C86,'Question-Article-Match'!$F:$F,"indirect match")&gt;0,"indirect match","no match"))</f>
        <v>direct match</v>
      </c>
    </row>
    <row r="87" spans="1:8">
      <c r="A87" s="28" t="s">
        <v>129</v>
      </c>
      <c r="B87" s="28" t="s">
        <v>130</v>
      </c>
      <c r="C87" s="28">
        <v>7</v>
      </c>
      <c r="D87" s="28" t="s">
        <v>75</v>
      </c>
      <c r="E87" s="28" t="s">
        <v>76</v>
      </c>
      <c r="F87" s="28">
        <v>0.3</v>
      </c>
      <c r="G87" s="28">
        <v>2</v>
      </c>
      <c r="H87" s="28" t="str">
        <f>IF(COUNTIFS('Question-Article-Match'!$A:$A,A87,'Question-Article-Match'!$C:$C,C87,'Question-Article-Match'!$F:$F,"direct match")&gt;0,"direct match",IF(COUNTIFS('Question-Article-Match'!$A:$A,A87,'Question-Article-Match'!$C:$C,C87,'Question-Article-Match'!$F:$F,"indirect match")&gt;0,"indirect match","no match"))</f>
        <v>indirect match</v>
      </c>
    </row>
    <row r="88" spans="1:8">
      <c r="A88" s="28" t="s">
        <v>129</v>
      </c>
      <c r="B88" s="28" t="s">
        <v>130</v>
      </c>
      <c r="C88" s="28">
        <v>5</v>
      </c>
      <c r="D88" s="28" t="s">
        <v>36</v>
      </c>
      <c r="E88" s="28" t="s">
        <v>37</v>
      </c>
      <c r="F88" s="28">
        <v>0.3</v>
      </c>
      <c r="G88" s="28">
        <v>3</v>
      </c>
      <c r="H88" s="28" t="str">
        <f>IF(COUNTIFS('Question-Article-Match'!$A:$A,A88,'Question-Article-Match'!$C:$C,C88,'Question-Article-Match'!$F:$F,"direct match")&gt;0,"direct match",IF(COUNTIFS('Question-Article-Match'!$A:$A,A88,'Question-Article-Match'!$C:$C,C88,'Question-Article-Match'!$F:$F,"indirect match")&gt;0,"indirect match","no match"))</f>
        <v>no match</v>
      </c>
    </row>
    <row r="89" spans="1:8">
      <c r="A89" s="28" t="s">
        <v>129</v>
      </c>
      <c r="B89" s="28" t="s">
        <v>130</v>
      </c>
      <c r="C89" s="28">
        <v>2</v>
      </c>
      <c r="D89" s="28" t="s">
        <v>18</v>
      </c>
      <c r="E89" s="28" t="s">
        <v>19</v>
      </c>
      <c r="F89" s="28">
        <v>0.3</v>
      </c>
      <c r="G89" s="28">
        <v>4</v>
      </c>
      <c r="H89" s="28" t="str">
        <f>IF(COUNTIFS('Question-Article-Match'!$A:$A,A89,'Question-Article-Match'!$C:$C,C89,'Question-Article-Match'!$F:$F,"direct match")&gt;0,"direct match",IF(COUNTIFS('Question-Article-Match'!$A:$A,A89,'Question-Article-Match'!$C:$C,C89,'Question-Article-Match'!$F:$F,"indirect match")&gt;0,"indirect match","no match"))</f>
        <v>no match</v>
      </c>
    </row>
    <row r="90" spans="1:8">
      <c r="A90" s="28" t="s">
        <v>129</v>
      </c>
      <c r="B90" s="28" t="s">
        <v>130</v>
      </c>
      <c r="C90" s="28">
        <v>12</v>
      </c>
      <c r="D90" s="28" t="s">
        <v>20</v>
      </c>
      <c r="E90" s="28" t="s">
        <v>21</v>
      </c>
      <c r="F90" s="28">
        <v>0.2</v>
      </c>
      <c r="G90" s="28">
        <v>5</v>
      </c>
      <c r="H90" s="28" t="str">
        <f>IF(COUNTIFS('Question-Article-Match'!$A:$A,A90,'Question-Article-Match'!$C:$C,C90,'Question-Article-Match'!$F:$F,"direct match")&gt;0,"direct match",IF(COUNTIFS('Question-Article-Match'!$A:$A,A90,'Question-Article-Match'!$C:$C,C90,'Question-Article-Match'!$F:$F,"indirect match")&gt;0,"indirect match","no match"))</f>
        <v>indirect match</v>
      </c>
    </row>
    <row r="91" spans="1:8">
      <c r="A91" s="28" t="s">
        <v>129</v>
      </c>
      <c r="B91" s="28" t="s">
        <v>130</v>
      </c>
      <c r="C91" s="28">
        <v>1</v>
      </c>
      <c r="D91" s="28" t="s">
        <v>22</v>
      </c>
      <c r="E91" s="28" t="s">
        <v>23</v>
      </c>
      <c r="F91" s="28">
        <v>0.2</v>
      </c>
      <c r="G91" s="28">
        <v>6</v>
      </c>
      <c r="H91" s="28" t="str">
        <f>IF(COUNTIFS('Question-Article-Match'!$A:$A,A91,'Question-Article-Match'!$C:$C,C91,'Question-Article-Match'!$F:$F,"direct match")&gt;0,"direct match",IF(COUNTIFS('Question-Article-Match'!$A:$A,A91,'Question-Article-Match'!$C:$C,C91,'Question-Article-Match'!$F:$F,"indirect match")&gt;0,"indirect match","no match"))</f>
        <v>no match</v>
      </c>
    </row>
    <row r="92" spans="1:8">
      <c r="A92" s="28" t="s">
        <v>129</v>
      </c>
      <c r="B92" s="28" t="s">
        <v>130</v>
      </c>
      <c r="C92" s="28">
        <v>16</v>
      </c>
      <c r="D92" s="28" t="s">
        <v>12</v>
      </c>
      <c r="E92" s="28" t="s">
        <v>13</v>
      </c>
      <c r="F92" s="28">
        <v>0.2</v>
      </c>
      <c r="G92" s="28">
        <v>7</v>
      </c>
      <c r="H92" s="28" t="str">
        <f>IF(COUNTIFS('Question-Article-Match'!$A:$A,A92,'Question-Article-Match'!$C:$C,C92,'Question-Article-Match'!$F:$F,"direct match")&gt;0,"direct match",IF(COUNTIFS('Question-Article-Match'!$A:$A,A92,'Question-Article-Match'!$C:$C,C92,'Question-Article-Match'!$F:$F,"indirect match")&gt;0,"indirect match","no match"))</f>
        <v>no match</v>
      </c>
    </row>
    <row r="93" spans="1:8">
      <c r="A93" s="28" t="s">
        <v>129</v>
      </c>
      <c r="B93" s="28" t="s">
        <v>130</v>
      </c>
      <c r="C93" s="28">
        <v>6</v>
      </c>
      <c r="D93" s="28" t="s">
        <v>28</v>
      </c>
      <c r="E93" s="28" t="s">
        <v>29</v>
      </c>
      <c r="F93" s="28">
        <v>0.2</v>
      </c>
      <c r="G93" s="28">
        <v>8</v>
      </c>
      <c r="H93" s="28" t="str">
        <f>IF(COUNTIFS('Question-Article-Match'!$A:$A,A93,'Question-Article-Match'!$C:$C,C93,'Question-Article-Match'!$F:$F,"direct match")&gt;0,"direct match",IF(COUNTIFS('Question-Article-Match'!$A:$A,A93,'Question-Article-Match'!$C:$C,C93,'Question-Article-Match'!$F:$F,"indirect match")&gt;0,"indirect match","no match"))</f>
        <v>no match</v>
      </c>
    </row>
    <row r="94" spans="1:8">
      <c r="A94" s="28" t="s">
        <v>129</v>
      </c>
      <c r="B94" s="28" t="s">
        <v>130</v>
      </c>
      <c r="C94" s="28">
        <v>9</v>
      </c>
      <c r="D94" s="28" t="s">
        <v>10</v>
      </c>
      <c r="E94" s="28" t="s">
        <v>11</v>
      </c>
      <c r="F94" s="28">
        <v>0.1</v>
      </c>
      <c r="G94" s="28">
        <v>9</v>
      </c>
      <c r="H94" s="28" t="str">
        <f>IF(COUNTIFS('Question-Article-Match'!$A:$A,A94,'Question-Article-Match'!$C:$C,C94,'Question-Article-Match'!$F:$F,"direct match")&gt;0,"direct match",IF(COUNTIFS('Question-Article-Match'!$A:$A,A94,'Question-Article-Match'!$C:$C,C94,'Question-Article-Match'!$F:$F,"indirect match")&gt;0,"indirect match","no match"))</f>
        <v>no match</v>
      </c>
    </row>
    <row r="95" spans="1:8">
      <c r="A95" s="28" t="s">
        <v>129</v>
      </c>
      <c r="B95" s="28" t="s">
        <v>130</v>
      </c>
      <c r="C95" s="28">
        <v>13</v>
      </c>
      <c r="D95" s="28" t="s">
        <v>34</v>
      </c>
      <c r="E95" s="28" t="s">
        <v>35</v>
      </c>
      <c r="F95" s="28">
        <v>0.1</v>
      </c>
      <c r="G95" s="28">
        <v>10</v>
      </c>
      <c r="H95" s="28" t="str">
        <f>IF(COUNTIFS('Question-Article-Match'!$A:$A,A95,'Question-Article-Match'!$C:$C,C95,'Question-Article-Match'!$F:$F,"direct match")&gt;0,"direct match",IF(COUNTIFS('Question-Article-Match'!$A:$A,A95,'Question-Article-Match'!$C:$C,C95,'Question-Article-Match'!$F:$F,"indirect match")&gt;0,"indirect match","no match"))</f>
        <v>no match</v>
      </c>
    </row>
    <row r="96" spans="1:8">
      <c r="A96" s="28" t="s">
        <v>129</v>
      </c>
      <c r="B96" s="28" t="s">
        <v>130</v>
      </c>
      <c r="C96" s="28">
        <v>8</v>
      </c>
      <c r="D96" s="28" t="s">
        <v>40</v>
      </c>
      <c r="E96" s="28" t="s">
        <v>41</v>
      </c>
      <c r="F96" s="28">
        <v>0.1</v>
      </c>
      <c r="G96" s="28">
        <v>11</v>
      </c>
      <c r="H96" s="28" t="str">
        <f>IF(COUNTIFS('Question-Article-Match'!$A:$A,A96,'Question-Article-Match'!$C:$C,C96,'Question-Article-Match'!$F:$F,"direct match")&gt;0,"direct match",IF(COUNTIFS('Question-Article-Match'!$A:$A,A96,'Question-Article-Match'!$C:$C,C96,'Question-Article-Match'!$F:$F,"indirect match")&gt;0,"indirect match","no match"))</f>
        <v>no match</v>
      </c>
    </row>
    <row r="97" spans="1:8">
      <c r="A97" s="28" t="s">
        <v>129</v>
      </c>
      <c r="B97" s="28" t="s">
        <v>130</v>
      </c>
      <c r="C97" s="28">
        <v>18</v>
      </c>
      <c r="D97" s="28" t="s">
        <v>24</v>
      </c>
      <c r="E97" s="28" t="s">
        <v>25</v>
      </c>
      <c r="F97" s="28">
        <v>0.1</v>
      </c>
      <c r="G97" s="28">
        <v>12</v>
      </c>
      <c r="H97" s="28" t="str">
        <f>IF(COUNTIFS('Question-Article-Match'!$A:$A,A97,'Question-Article-Match'!$C:$C,C97,'Question-Article-Match'!$F:$F,"direct match")&gt;0,"direct match",IF(COUNTIFS('Question-Article-Match'!$A:$A,A97,'Question-Article-Match'!$C:$C,C97,'Question-Article-Match'!$F:$F,"indirect match")&gt;0,"indirect match","no match"))</f>
        <v>no match</v>
      </c>
    </row>
    <row r="98" spans="1:8">
      <c r="A98" s="28" t="s">
        <v>129</v>
      </c>
      <c r="B98" s="28" t="s">
        <v>130</v>
      </c>
      <c r="C98" s="28">
        <v>15</v>
      </c>
      <c r="D98" s="28" t="s">
        <v>42</v>
      </c>
      <c r="E98" s="28" t="s">
        <v>43</v>
      </c>
      <c r="F98" s="28">
        <v>0.1</v>
      </c>
      <c r="G98" s="28">
        <v>13</v>
      </c>
      <c r="H98" s="28" t="str">
        <f>IF(COUNTIFS('Question-Article-Match'!$A:$A,A98,'Question-Article-Match'!$C:$C,C98,'Question-Article-Match'!$F:$F,"direct match")&gt;0,"direct match",IF(COUNTIFS('Question-Article-Match'!$A:$A,A98,'Question-Article-Match'!$C:$C,C98,'Question-Article-Match'!$F:$F,"indirect match")&gt;0,"indirect match","no match"))</f>
        <v>no match</v>
      </c>
    </row>
    <row r="99" spans="1:8">
      <c r="A99" s="28" t="s">
        <v>129</v>
      </c>
      <c r="B99" s="28" t="s">
        <v>130</v>
      </c>
      <c r="C99" s="28">
        <v>3</v>
      </c>
      <c r="D99" s="28" t="s">
        <v>26</v>
      </c>
      <c r="E99" s="28" t="s">
        <v>27</v>
      </c>
      <c r="F99" s="28">
        <v>0.1</v>
      </c>
      <c r="G99" s="28">
        <v>14</v>
      </c>
      <c r="H99" s="28" t="str">
        <f>IF(COUNTIFS('Question-Article-Match'!$A:$A,A99,'Question-Article-Match'!$C:$C,C99,'Question-Article-Match'!$F:$F,"direct match")&gt;0,"direct match",IF(COUNTIFS('Question-Article-Match'!$A:$A,A99,'Question-Article-Match'!$C:$C,C99,'Question-Article-Match'!$F:$F,"indirect match")&gt;0,"indirect match","no match"))</f>
        <v>no match</v>
      </c>
    </row>
    <row r="100" spans="1:8">
      <c r="A100" s="28" t="s">
        <v>129</v>
      </c>
      <c r="B100" s="28" t="s">
        <v>130</v>
      </c>
      <c r="C100" s="28">
        <v>19</v>
      </c>
      <c r="D100" s="28" t="s">
        <v>14</v>
      </c>
      <c r="E100" s="28" t="s">
        <v>15</v>
      </c>
      <c r="F100" s="28">
        <v>0.1</v>
      </c>
      <c r="G100" s="28">
        <v>15</v>
      </c>
      <c r="H100" s="28" t="str">
        <f>IF(COUNTIFS('Question-Article-Match'!$A:$A,A100,'Question-Article-Match'!$C:$C,C100,'Question-Article-Match'!$F:$F,"direct match")&gt;0,"direct match",IF(COUNTIFS('Question-Article-Match'!$A:$A,A100,'Question-Article-Match'!$C:$C,C100,'Question-Article-Match'!$F:$F,"indirect match")&gt;0,"indirect match","no match"))</f>
        <v>indirect match</v>
      </c>
    </row>
    <row r="101" spans="1:8">
      <c r="A101" s="28" t="s">
        <v>129</v>
      </c>
      <c r="B101" s="28" t="s">
        <v>130</v>
      </c>
      <c r="C101" s="28">
        <v>11</v>
      </c>
      <c r="D101" s="28" t="s">
        <v>89</v>
      </c>
      <c r="E101" s="28" t="s">
        <v>90</v>
      </c>
      <c r="F101" s="28">
        <v>0</v>
      </c>
      <c r="G101" s="28">
        <v>16</v>
      </c>
      <c r="H101" s="28" t="str">
        <f>IF(COUNTIFS('Question-Article-Match'!$A:$A,A101,'Question-Article-Match'!$C:$C,C101,'Question-Article-Match'!$F:$F,"direct match")&gt;0,"direct match",IF(COUNTIFS('Question-Article-Match'!$A:$A,A101,'Question-Article-Match'!$C:$C,C101,'Question-Article-Match'!$F:$F,"indirect match")&gt;0,"indirect match","no match"))</f>
        <v>no match</v>
      </c>
    </row>
    <row r="102" spans="1:8">
      <c r="A102" s="28" t="s">
        <v>129</v>
      </c>
      <c r="B102" s="28" t="s">
        <v>130</v>
      </c>
      <c r="C102" s="28">
        <v>17</v>
      </c>
      <c r="D102" s="28" t="s">
        <v>108</v>
      </c>
      <c r="E102" s="28" t="s">
        <v>109</v>
      </c>
      <c r="F102" s="28">
        <v>0</v>
      </c>
      <c r="G102" s="28">
        <v>17</v>
      </c>
      <c r="H102" s="28" t="str">
        <f>IF(COUNTIFS('Question-Article-Match'!$A:$A,A102,'Question-Article-Match'!$C:$C,C102,'Question-Article-Match'!$F:$F,"direct match")&gt;0,"direct match",IF(COUNTIFS('Question-Article-Match'!$A:$A,A102,'Question-Article-Match'!$C:$C,C102,'Question-Article-Match'!$F:$F,"indirect match")&gt;0,"indirect match","no match"))</f>
        <v>no match</v>
      </c>
    </row>
    <row r="103" spans="1:8">
      <c r="A103" s="28" t="s">
        <v>129</v>
      </c>
      <c r="B103" s="28" t="s">
        <v>130</v>
      </c>
      <c r="C103" s="28">
        <v>20</v>
      </c>
      <c r="D103" s="28" t="s">
        <v>113</v>
      </c>
      <c r="E103" s="28" t="s">
        <v>114</v>
      </c>
      <c r="F103" s="28">
        <v>0</v>
      </c>
      <c r="G103" s="28">
        <v>18</v>
      </c>
      <c r="H103" s="28" t="str">
        <f>IF(COUNTIFS('Question-Article-Match'!$A:$A,A103,'Question-Article-Match'!$C:$C,C103,'Question-Article-Match'!$F:$F,"direct match")&gt;0,"direct match",IF(COUNTIFS('Question-Article-Match'!$A:$A,A103,'Question-Article-Match'!$C:$C,C103,'Question-Article-Match'!$F:$F,"indirect match")&gt;0,"indirect match","no match"))</f>
        <v>no match</v>
      </c>
    </row>
    <row r="104" spans="1:8">
      <c r="A104" s="28" t="s">
        <v>129</v>
      </c>
      <c r="B104" s="28" t="s">
        <v>130</v>
      </c>
      <c r="C104" s="28">
        <v>21</v>
      </c>
      <c r="D104" s="28" t="s">
        <v>46</v>
      </c>
      <c r="E104" s="28" t="s">
        <v>47</v>
      </c>
      <c r="F104" s="28">
        <v>0</v>
      </c>
      <c r="G104" s="28">
        <v>19</v>
      </c>
      <c r="H104" s="28" t="str">
        <f>IF(COUNTIFS('Question-Article-Match'!$A:$A,A104,'Question-Article-Match'!$C:$C,C104,'Question-Article-Match'!$F:$F,"direct match")&gt;0,"direct match",IF(COUNTIFS('Question-Article-Match'!$A:$A,A104,'Question-Article-Match'!$C:$C,C104,'Question-Article-Match'!$F:$F,"indirect match")&gt;0,"indirect match","no match"))</f>
        <v>no match</v>
      </c>
    </row>
    <row r="105" spans="1:8">
      <c r="A105" s="28" t="s">
        <v>129</v>
      </c>
      <c r="B105" s="28" t="s">
        <v>130</v>
      </c>
      <c r="C105" s="28">
        <v>14</v>
      </c>
      <c r="D105" s="28" t="s">
        <v>16</v>
      </c>
      <c r="E105" s="28" t="s">
        <v>17</v>
      </c>
      <c r="F105" s="28">
        <v>0</v>
      </c>
      <c r="G105" s="28">
        <v>20</v>
      </c>
      <c r="H105" s="28" t="str">
        <f>IF(COUNTIFS('Question-Article-Match'!$A:$A,A105,'Question-Article-Match'!$C:$C,C105,'Question-Article-Match'!$F:$F,"direct match")&gt;0,"direct match",IF(COUNTIFS('Question-Article-Match'!$A:$A,A105,'Question-Article-Match'!$C:$C,C105,'Question-Article-Match'!$F:$F,"indirect match")&gt;0,"indirect match","no match"))</f>
        <v>no match</v>
      </c>
    </row>
    <row r="106" spans="1:8">
      <c r="A106" s="28" t="s">
        <v>129</v>
      </c>
      <c r="B106" s="28" t="s">
        <v>130</v>
      </c>
      <c r="C106" s="28">
        <v>4</v>
      </c>
      <c r="D106" s="28" t="s">
        <v>64</v>
      </c>
      <c r="E106" s="28" t="s">
        <v>65</v>
      </c>
      <c r="F106" s="28">
        <v>0</v>
      </c>
      <c r="G106" s="28">
        <v>21</v>
      </c>
      <c r="H106" s="28" t="str">
        <f>IF(COUNTIFS('Question-Article-Match'!$A:$A,A106,'Question-Article-Match'!$C:$C,C106,'Question-Article-Match'!$F:$F,"direct match")&gt;0,"direct match",IF(COUNTIFS('Question-Article-Match'!$A:$A,A106,'Question-Article-Match'!$C:$C,C106,'Question-Article-Match'!$F:$F,"indirect match")&gt;0,"indirect match","no match"))</f>
        <v>no match</v>
      </c>
    </row>
    <row r="107" spans="1:8">
      <c r="A107" s="28" t="s">
        <v>132</v>
      </c>
      <c r="B107" s="28" t="s">
        <v>133</v>
      </c>
      <c r="C107" s="28">
        <v>5</v>
      </c>
      <c r="D107" s="28" t="s">
        <v>36</v>
      </c>
      <c r="E107" s="28" t="s">
        <v>37</v>
      </c>
      <c r="F107" s="28">
        <v>0.6</v>
      </c>
      <c r="G107" s="28">
        <v>1</v>
      </c>
      <c r="H107" s="28" t="str">
        <f>IF(COUNTIFS('Question-Article-Match'!$A:$A,A107,'Question-Article-Match'!$C:$C,C107,'Question-Article-Match'!$F:$F,"direct match")&gt;0,"direct match",IF(COUNTIFS('Question-Article-Match'!$A:$A,A107,'Question-Article-Match'!$C:$C,C107,'Question-Article-Match'!$F:$F,"indirect match")&gt;0,"indirect match","no match"))</f>
        <v>indirect match</v>
      </c>
    </row>
    <row r="108" spans="1:8">
      <c r="A108" s="28" t="s">
        <v>132</v>
      </c>
      <c r="B108" s="28" t="s">
        <v>133</v>
      </c>
      <c r="C108" s="28">
        <v>7</v>
      </c>
      <c r="D108" s="28" t="s">
        <v>75</v>
      </c>
      <c r="E108" s="28" t="s">
        <v>76</v>
      </c>
      <c r="F108" s="28">
        <v>0.2</v>
      </c>
      <c r="G108" s="28">
        <v>2</v>
      </c>
      <c r="H108" s="28" t="str">
        <f>IF(COUNTIFS('Question-Article-Match'!$A:$A,A108,'Question-Article-Match'!$C:$C,C108,'Question-Article-Match'!$F:$F,"direct match")&gt;0,"direct match",IF(COUNTIFS('Question-Article-Match'!$A:$A,A108,'Question-Article-Match'!$C:$C,C108,'Question-Article-Match'!$F:$F,"indirect match")&gt;0,"indirect match","no match"))</f>
        <v>direct match</v>
      </c>
    </row>
    <row r="109" spans="1:8">
      <c r="A109" s="28" t="s">
        <v>132</v>
      </c>
      <c r="B109" s="28" t="s">
        <v>133</v>
      </c>
      <c r="C109" s="28">
        <v>12</v>
      </c>
      <c r="D109" s="28" t="s">
        <v>20</v>
      </c>
      <c r="E109" s="28" t="s">
        <v>21</v>
      </c>
      <c r="F109" s="28">
        <v>0.2</v>
      </c>
      <c r="G109" s="28">
        <v>3</v>
      </c>
      <c r="H109" s="28" t="str">
        <f>IF(COUNTIFS('Question-Article-Match'!$A:$A,A109,'Question-Article-Match'!$C:$C,C109,'Question-Article-Match'!$F:$F,"direct match")&gt;0,"direct match",IF(COUNTIFS('Question-Article-Match'!$A:$A,A109,'Question-Article-Match'!$C:$C,C109,'Question-Article-Match'!$F:$F,"indirect match")&gt;0,"indirect match","no match"))</f>
        <v>direct match</v>
      </c>
    </row>
    <row r="110" spans="1:8">
      <c r="A110" s="28" t="s">
        <v>132</v>
      </c>
      <c r="B110" s="28" t="s">
        <v>133</v>
      </c>
      <c r="C110" s="28">
        <v>6</v>
      </c>
      <c r="D110" s="28" t="s">
        <v>28</v>
      </c>
      <c r="E110" s="28" t="s">
        <v>29</v>
      </c>
      <c r="F110" s="28">
        <v>0.2</v>
      </c>
      <c r="G110" s="28">
        <v>4</v>
      </c>
      <c r="H110" s="28" t="str">
        <f>IF(COUNTIFS('Question-Article-Match'!$A:$A,A110,'Question-Article-Match'!$C:$C,C110,'Question-Article-Match'!$F:$F,"direct match")&gt;0,"direct match",IF(COUNTIFS('Question-Article-Match'!$A:$A,A110,'Question-Article-Match'!$C:$C,C110,'Question-Article-Match'!$F:$F,"indirect match")&gt;0,"indirect match","no match"))</f>
        <v>indirect match</v>
      </c>
    </row>
    <row r="111" spans="1:8">
      <c r="A111" s="28" t="s">
        <v>132</v>
      </c>
      <c r="B111" s="28" t="s">
        <v>133</v>
      </c>
      <c r="C111" s="28">
        <v>11</v>
      </c>
      <c r="D111" s="28" t="s">
        <v>89</v>
      </c>
      <c r="E111" s="28" t="s">
        <v>90</v>
      </c>
      <c r="F111" s="28">
        <v>0.1</v>
      </c>
      <c r="G111" s="28">
        <v>5</v>
      </c>
      <c r="H111" s="28" t="str">
        <f>IF(COUNTIFS('Question-Article-Match'!$A:$A,A111,'Question-Article-Match'!$C:$C,C111,'Question-Article-Match'!$F:$F,"direct match")&gt;0,"direct match",IF(COUNTIFS('Question-Article-Match'!$A:$A,A111,'Question-Article-Match'!$C:$C,C111,'Question-Article-Match'!$F:$F,"indirect match")&gt;0,"indirect match","no match"))</f>
        <v>no match</v>
      </c>
    </row>
    <row r="112" spans="1:8">
      <c r="A112" s="28" t="s">
        <v>132</v>
      </c>
      <c r="B112" s="28" t="s">
        <v>133</v>
      </c>
      <c r="C112" s="28">
        <v>10</v>
      </c>
      <c r="D112" s="28" t="s">
        <v>32</v>
      </c>
      <c r="E112" s="28" t="s">
        <v>33</v>
      </c>
      <c r="F112" s="28">
        <v>0.1</v>
      </c>
      <c r="G112" s="28">
        <v>6</v>
      </c>
      <c r="H112" s="28" t="str">
        <f>IF(COUNTIFS('Question-Article-Match'!$A:$A,A112,'Question-Article-Match'!$C:$C,C112,'Question-Article-Match'!$F:$F,"direct match")&gt;0,"direct match",IF(COUNTIFS('Question-Article-Match'!$A:$A,A112,'Question-Article-Match'!$C:$C,C112,'Question-Article-Match'!$F:$F,"indirect match")&gt;0,"indirect match","no match"))</f>
        <v>indirect match</v>
      </c>
    </row>
    <row r="113" spans="1:8">
      <c r="A113" s="28" t="s">
        <v>132</v>
      </c>
      <c r="B113" s="28" t="s">
        <v>133</v>
      </c>
      <c r="C113" s="28">
        <v>15</v>
      </c>
      <c r="D113" s="28" t="s">
        <v>42</v>
      </c>
      <c r="E113" s="28" t="s">
        <v>43</v>
      </c>
      <c r="F113" s="28">
        <v>0.1</v>
      </c>
      <c r="G113" s="28">
        <v>7</v>
      </c>
      <c r="H113" s="28" t="str">
        <f>IF(COUNTIFS('Question-Article-Match'!$A:$A,A113,'Question-Article-Match'!$C:$C,C113,'Question-Article-Match'!$F:$F,"direct match")&gt;0,"direct match",IF(COUNTIFS('Question-Article-Match'!$A:$A,A113,'Question-Article-Match'!$C:$C,C113,'Question-Article-Match'!$F:$F,"indirect match")&gt;0,"indirect match","no match"))</f>
        <v>no match</v>
      </c>
    </row>
    <row r="114" spans="1:8">
      <c r="A114" s="28" t="s">
        <v>132</v>
      </c>
      <c r="B114" s="28" t="s">
        <v>133</v>
      </c>
      <c r="C114" s="28">
        <v>17</v>
      </c>
      <c r="D114" s="28" t="s">
        <v>108</v>
      </c>
      <c r="E114" s="28" t="s">
        <v>109</v>
      </c>
      <c r="F114" s="28">
        <v>0</v>
      </c>
      <c r="G114" s="28">
        <v>8</v>
      </c>
      <c r="H114" s="28" t="str">
        <f>IF(COUNTIFS('Question-Article-Match'!$A:$A,A114,'Question-Article-Match'!$C:$C,C114,'Question-Article-Match'!$F:$F,"direct match")&gt;0,"direct match",IF(COUNTIFS('Question-Article-Match'!$A:$A,A114,'Question-Article-Match'!$C:$C,C114,'Question-Article-Match'!$F:$F,"indirect match")&gt;0,"indirect match","no match"))</f>
        <v>no match</v>
      </c>
    </row>
    <row r="115" spans="1:8">
      <c r="A115" s="28" t="s">
        <v>132</v>
      </c>
      <c r="B115" s="28" t="s">
        <v>133</v>
      </c>
      <c r="C115" s="28">
        <v>20</v>
      </c>
      <c r="D115" s="28" t="s">
        <v>113</v>
      </c>
      <c r="E115" s="28" t="s">
        <v>114</v>
      </c>
      <c r="F115" s="28">
        <v>0</v>
      </c>
      <c r="G115" s="28">
        <v>9</v>
      </c>
      <c r="H115" s="28" t="str">
        <f>IF(COUNTIFS('Question-Article-Match'!$A:$A,A115,'Question-Article-Match'!$C:$C,C115,'Question-Article-Match'!$F:$F,"direct match")&gt;0,"direct match",IF(COUNTIFS('Question-Article-Match'!$A:$A,A115,'Question-Article-Match'!$C:$C,C115,'Question-Article-Match'!$F:$F,"indirect match")&gt;0,"indirect match","no match"))</f>
        <v>no match</v>
      </c>
    </row>
    <row r="116" spans="1:8">
      <c r="A116" s="28" t="s">
        <v>132</v>
      </c>
      <c r="B116" s="28" t="s">
        <v>133</v>
      </c>
      <c r="C116" s="28">
        <v>9</v>
      </c>
      <c r="D116" s="28" t="s">
        <v>10</v>
      </c>
      <c r="E116" s="28" t="s">
        <v>11</v>
      </c>
      <c r="F116" s="28">
        <v>0</v>
      </c>
      <c r="G116" s="28">
        <v>10</v>
      </c>
      <c r="H116" s="28" t="str">
        <f>IF(COUNTIFS('Question-Article-Match'!$A:$A,A116,'Question-Article-Match'!$C:$C,C116,'Question-Article-Match'!$F:$F,"direct match")&gt;0,"direct match",IF(COUNTIFS('Question-Article-Match'!$A:$A,A116,'Question-Article-Match'!$C:$C,C116,'Question-Article-Match'!$F:$F,"indirect match")&gt;0,"indirect match","no match"))</f>
        <v>no match</v>
      </c>
    </row>
    <row r="117" spans="1:8">
      <c r="A117" s="28" t="s">
        <v>132</v>
      </c>
      <c r="B117" s="28" t="s">
        <v>133</v>
      </c>
      <c r="C117" s="28">
        <v>13</v>
      </c>
      <c r="D117" s="28" t="s">
        <v>34</v>
      </c>
      <c r="E117" s="28" t="s">
        <v>35</v>
      </c>
      <c r="F117" s="28">
        <v>0</v>
      </c>
      <c r="G117" s="28">
        <v>11</v>
      </c>
      <c r="H117" s="28" t="str">
        <f>IF(COUNTIFS('Question-Article-Match'!$A:$A,A117,'Question-Article-Match'!$C:$C,C117,'Question-Article-Match'!$F:$F,"direct match")&gt;0,"direct match",IF(COUNTIFS('Question-Article-Match'!$A:$A,A117,'Question-Article-Match'!$C:$C,C117,'Question-Article-Match'!$F:$F,"indirect match")&gt;0,"indirect match","no match"))</f>
        <v>no match</v>
      </c>
    </row>
    <row r="118" spans="1:8">
      <c r="A118" s="28" t="s">
        <v>132</v>
      </c>
      <c r="B118" s="28" t="s">
        <v>133</v>
      </c>
      <c r="C118" s="28">
        <v>21</v>
      </c>
      <c r="D118" s="28" t="s">
        <v>46</v>
      </c>
      <c r="E118" s="28" t="s">
        <v>47</v>
      </c>
      <c r="F118" s="28">
        <v>0</v>
      </c>
      <c r="G118" s="28">
        <v>12</v>
      </c>
      <c r="H118" s="28" t="str">
        <f>IF(COUNTIFS('Question-Article-Match'!$A:$A,A118,'Question-Article-Match'!$C:$C,C118,'Question-Article-Match'!$F:$F,"direct match")&gt;0,"direct match",IF(COUNTIFS('Question-Article-Match'!$A:$A,A118,'Question-Article-Match'!$C:$C,C118,'Question-Article-Match'!$F:$F,"indirect match")&gt;0,"indirect match","no match"))</f>
        <v>no match</v>
      </c>
    </row>
    <row r="119" spans="1:8">
      <c r="A119" s="28" t="s">
        <v>132</v>
      </c>
      <c r="B119" s="28" t="s">
        <v>133</v>
      </c>
      <c r="C119" s="28">
        <v>14</v>
      </c>
      <c r="D119" s="28" t="s">
        <v>16</v>
      </c>
      <c r="E119" s="28" t="s">
        <v>17</v>
      </c>
      <c r="F119" s="28">
        <v>0</v>
      </c>
      <c r="G119" s="28">
        <v>13</v>
      </c>
      <c r="H119" s="28" t="str">
        <f>IF(COUNTIFS('Question-Article-Match'!$A:$A,A119,'Question-Article-Match'!$C:$C,C119,'Question-Article-Match'!$F:$F,"direct match")&gt;0,"direct match",IF(COUNTIFS('Question-Article-Match'!$A:$A,A119,'Question-Article-Match'!$C:$C,C119,'Question-Article-Match'!$F:$F,"indirect match")&gt;0,"indirect match","no match"))</f>
        <v>no match</v>
      </c>
    </row>
    <row r="120" spans="1:8">
      <c r="A120" s="28" t="s">
        <v>132</v>
      </c>
      <c r="B120" s="28" t="s">
        <v>133</v>
      </c>
      <c r="C120" s="28">
        <v>8</v>
      </c>
      <c r="D120" s="28" t="s">
        <v>40</v>
      </c>
      <c r="E120" s="28" t="s">
        <v>41</v>
      </c>
      <c r="F120" s="28">
        <v>0</v>
      </c>
      <c r="G120" s="28">
        <v>14</v>
      </c>
      <c r="H120" s="28" t="str">
        <f>IF(COUNTIFS('Question-Article-Match'!$A:$A,A120,'Question-Article-Match'!$C:$C,C120,'Question-Article-Match'!$F:$F,"direct match")&gt;0,"direct match",IF(COUNTIFS('Question-Article-Match'!$A:$A,A120,'Question-Article-Match'!$C:$C,C120,'Question-Article-Match'!$F:$F,"indirect match")&gt;0,"indirect match","no match"))</f>
        <v>indirect match</v>
      </c>
    </row>
    <row r="121" spans="1:8">
      <c r="A121" s="28" t="s">
        <v>132</v>
      </c>
      <c r="B121" s="28" t="s">
        <v>133</v>
      </c>
      <c r="C121" s="28">
        <v>1</v>
      </c>
      <c r="D121" s="28" t="s">
        <v>22</v>
      </c>
      <c r="E121" s="28" t="s">
        <v>23</v>
      </c>
      <c r="F121" s="28">
        <v>0</v>
      </c>
      <c r="G121" s="28">
        <v>15</v>
      </c>
      <c r="H121" s="28" t="str">
        <f>IF(COUNTIFS('Question-Article-Match'!$A:$A,A121,'Question-Article-Match'!$C:$C,C121,'Question-Article-Match'!$F:$F,"direct match")&gt;0,"direct match",IF(COUNTIFS('Question-Article-Match'!$A:$A,A121,'Question-Article-Match'!$C:$C,C121,'Question-Article-Match'!$F:$F,"indirect match")&gt;0,"indirect match","no match"))</f>
        <v>no match</v>
      </c>
    </row>
    <row r="122" spans="1:8">
      <c r="A122" s="28" t="s">
        <v>132</v>
      </c>
      <c r="B122" s="28" t="s">
        <v>133</v>
      </c>
      <c r="C122" s="28">
        <v>16</v>
      </c>
      <c r="D122" s="28" t="s">
        <v>12</v>
      </c>
      <c r="E122" s="28" t="s">
        <v>13</v>
      </c>
      <c r="F122" s="28">
        <v>0</v>
      </c>
      <c r="G122" s="28">
        <v>16</v>
      </c>
      <c r="H122" s="28" t="str">
        <f>IF(COUNTIFS('Question-Article-Match'!$A:$A,A122,'Question-Article-Match'!$C:$C,C122,'Question-Article-Match'!$F:$F,"direct match")&gt;0,"direct match",IF(COUNTIFS('Question-Article-Match'!$A:$A,A122,'Question-Article-Match'!$C:$C,C122,'Question-Article-Match'!$F:$F,"indirect match")&gt;0,"indirect match","no match"))</f>
        <v>no match</v>
      </c>
    </row>
    <row r="123" spans="1:8">
      <c r="A123" s="28" t="s">
        <v>132</v>
      </c>
      <c r="B123" s="28" t="s">
        <v>133</v>
      </c>
      <c r="C123" s="28">
        <v>2</v>
      </c>
      <c r="D123" s="28" t="s">
        <v>18</v>
      </c>
      <c r="E123" s="28" t="s">
        <v>19</v>
      </c>
      <c r="F123" s="28">
        <v>0</v>
      </c>
      <c r="G123" s="28">
        <v>17</v>
      </c>
      <c r="H123" s="28" t="str">
        <f>IF(COUNTIFS('Question-Article-Match'!$A:$A,A123,'Question-Article-Match'!$C:$C,C123,'Question-Article-Match'!$F:$F,"direct match")&gt;0,"direct match",IF(COUNTIFS('Question-Article-Match'!$A:$A,A123,'Question-Article-Match'!$C:$C,C123,'Question-Article-Match'!$F:$F,"indirect match")&gt;0,"indirect match","no match"))</f>
        <v>no match</v>
      </c>
    </row>
    <row r="124" spans="1:8">
      <c r="A124" s="28" t="s">
        <v>132</v>
      </c>
      <c r="B124" s="28" t="s">
        <v>133</v>
      </c>
      <c r="C124" s="28">
        <v>18</v>
      </c>
      <c r="D124" s="28" t="s">
        <v>24</v>
      </c>
      <c r="E124" s="28" t="s">
        <v>25</v>
      </c>
      <c r="F124" s="28">
        <v>0</v>
      </c>
      <c r="G124" s="28">
        <v>18</v>
      </c>
      <c r="H124" s="28" t="str">
        <f>IF(COUNTIFS('Question-Article-Match'!$A:$A,A124,'Question-Article-Match'!$C:$C,C124,'Question-Article-Match'!$F:$F,"direct match")&gt;0,"direct match",IF(COUNTIFS('Question-Article-Match'!$A:$A,A124,'Question-Article-Match'!$C:$C,C124,'Question-Article-Match'!$F:$F,"indirect match")&gt;0,"indirect match","no match"))</f>
        <v>no match</v>
      </c>
    </row>
    <row r="125" spans="1:8">
      <c r="A125" s="28" t="s">
        <v>132</v>
      </c>
      <c r="B125" s="28" t="s">
        <v>133</v>
      </c>
      <c r="C125" s="28">
        <v>4</v>
      </c>
      <c r="D125" s="28" t="s">
        <v>64</v>
      </c>
      <c r="E125" s="28" t="s">
        <v>65</v>
      </c>
      <c r="F125" s="28">
        <v>0</v>
      </c>
      <c r="G125" s="28">
        <v>19</v>
      </c>
      <c r="H125" s="28" t="str">
        <f>IF(COUNTIFS('Question-Article-Match'!$A:$A,A125,'Question-Article-Match'!$C:$C,C125,'Question-Article-Match'!$F:$F,"direct match")&gt;0,"direct match",IF(COUNTIFS('Question-Article-Match'!$A:$A,A125,'Question-Article-Match'!$C:$C,C125,'Question-Article-Match'!$F:$F,"indirect match")&gt;0,"indirect match","no match"))</f>
        <v>no match</v>
      </c>
    </row>
    <row r="126" spans="1:8">
      <c r="A126" s="28" t="s">
        <v>132</v>
      </c>
      <c r="B126" s="28" t="s">
        <v>133</v>
      </c>
      <c r="C126" s="28">
        <v>3</v>
      </c>
      <c r="D126" s="28" t="s">
        <v>26</v>
      </c>
      <c r="E126" s="28" t="s">
        <v>27</v>
      </c>
      <c r="F126" s="28">
        <v>0</v>
      </c>
      <c r="G126" s="28">
        <v>20</v>
      </c>
      <c r="H126" s="28" t="str">
        <f>IF(COUNTIFS('Question-Article-Match'!$A:$A,A126,'Question-Article-Match'!$C:$C,C126,'Question-Article-Match'!$F:$F,"direct match")&gt;0,"direct match",IF(COUNTIFS('Question-Article-Match'!$A:$A,A126,'Question-Article-Match'!$C:$C,C126,'Question-Article-Match'!$F:$F,"indirect match")&gt;0,"indirect match","no match"))</f>
        <v>no match</v>
      </c>
    </row>
    <row r="127" spans="1:8">
      <c r="A127" s="28" t="s">
        <v>132</v>
      </c>
      <c r="B127" s="28" t="s">
        <v>133</v>
      </c>
      <c r="C127" s="28">
        <v>19</v>
      </c>
      <c r="D127" s="28" t="s">
        <v>14</v>
      </c>
      <c r="E127" s="28" t="s">
        <v>15</v>
      </c>
      <c r="F127" s="28">
        <v>0</v>
      </c>
      <c r="G127" s="28">
        <v>21</v>
      </c>
      <c r="H127" s="28" t="str">
        <f>IF(COUNTIFS('Question-Article-Match'!$A:$A,A127,'Question-Article-Match'!$C:$C,C127,'Question-Article-Match'!$F:$F,"direct match")&gt;0,"direct match",IF(COUNTIFS('Question-Article-Match'!$A:$A,A127,'Question-Article-Match'!$C:$C,C127,'Question-Article-Match'!$F:$F,"indirect match")&gt;0,"indirect match","no match"))</f>
        <v>indirect match</v>
      </c>
    </row>
    <row r="128" spans="1:8">
      <c r="A128" s="28" t="s">
        <v>135</v>
      </c>
      <c r="B128" s="28" t="s">
        <v>136</v>
      </c>
      <c r="C128" s="28">
        <v>14</v>
      </c>
      <c r="D128" s="28" t="s">
        <v>16</v>
      </c>
      <c r="E128" s="28" t="s">
        <v>17</v>
      </c>
      <c r="F128" s="28">
        <v>0.2</v>
      </c>
      <c r="G128" s="28">
        <v>1</v>
      </c>
      <c r="H128" s="28" t="str">
        <f>IF(COUNTIFS('Question-Article-Match'!$A:$A,A128,'Question-Article-Match'!$C:$C,C128,'Question-Article-Match'!$F:$F,"direct match")&gt;0,"direct match",IF(COUNTIFS('Question-Article-Match'!$A:$A,A128,'Question-Article-Match'!$C:$C,C128,'Question-Article-Match'!$F:$F,"indirect match")&gt;0,"indirect match","no match"))</f>
        <v>no match</v>
      </c>
    </row>
    <row r="129" spans="1:8">
      <c r="A129" s="28" t="s">
        <v>135</v>
      </c>
      <c r="B129" s="28" t="s">
        <v>136</v>
      </c>
      <c r="C129" s="28">
        <v>16</v>
      </c>
      <c r="D129" s="28" t="s">
        <v>12</v>
      </c>
      <c r="E129" s="28" t="s">
        <v>13</v>
      </c>
      <c r="F129" s="28">
        <v>0.2</v>
      </c>
      <c r="G129" s="28">
        <v>2</v>
      </c>
      <c r="H129" s="28" t="str">
        <f>IF(COUNTIFS('Question-Article-Match'!$A:$A,A129,'Question-Article-Match'!$C:$C,C129,'Question-Article-Match'!$F:$F,"direct match")&gt;0,"direct match",IF(COUNTIFS('Question-Article-Match'!$A:$A,A129,'Question-Article-Match'!$C:$C,C129,'Question-Article-Match'!$F:$F,"indirect match")&gt;0,"indirect match","no match"))</f>
        <v>no match</v>
      </c>
    </row>
    <row r="130" spans="1:8">
      <c r="A130" s="28" t="s">
        <v>135</v>
      </c>
      <c r="B130" s="28" t="s">
        <v>136</v>
      </c>
      <c r="C130" s="28">
        <v>3</v>
      </c>
      <c r="D130" s="28" t="s">
        <v>26</v>
      </c>
      <c r="E130" s="28" t="s">
        <v>27</v>
      </c>
      <c r="F130" s="28">
        <v>0.2</v>
      </c>
      <c r="G130" s="28">
        <v>3</v>
      </c>
      <c r="H130" s="28" t="str">
        <f>IF(COUNTIFS('Question-Article-Match'!$A:$A,A130,'Question-Article-Match'!$C:$C,C130,'Question-Article-Match'!$F:$F,"direct match")&gt;0,"direct match",IF(COUNTIFS('Question-Article-Match'!$A:$A,A130,'Question-Article-Match'!$C:$C,C130,'Question-Article-Match'!$F:$F,"indirect match")&gt;0,"indirect match","no match"))</f>
        <v>no match</v>
      </c>
    </row>
    <row r="131" spans="1:8">
      <c r="A131" s="28" t="s">
        <v>135</v>
      </c>
      <c r="B131" s="28" t="s">
        <v>136</v>
      </c>
      <c r="C131" s="28">
        <v>19</v>
      </c>
      <c r="D131" s="28" t="s">
        <v>14</v>
      </c>
      <c r="E131" s="28" t="s">
        <v>15</v>
      </c>
      <c r="F131" s="28">
        <v>0.2</v>
      </c>
      <c r="G131" s="28">
        <v>4</v>
      </c>
      <c r="H131" s="28" t="str">
        <f>IF(COUNTIFS('Question-Article-Match'!$A:$A,A131,'Question-Article-Match'!$C:$C,C131,'Question-Article-Match'!$F:$F,"direct match")&gt;0,"direct match",IF(COUNTIFS('Question-Article-Match'!$A:$A,A131,'Question-Article-Match'!$C:$C,C131,'Question-Article-Match'!$F:$F,"indirect match")&gt;0,"indirect match","no match"))</f>
        <v>no match</v>
      </c>
    </row>
    <row r="132" spans="1:8">
      <c r="A132" s="28" t="s">
        <v>135</v>
      </c>
      <c r="B132" s="28" t="s">
        <v>136</v>
      </c>
      <c r="C132" s="28">
        <v>11</v>
      </c>
      <c r="D132" s="28" t="s">
        <v>89</v>
      </c>
      <c r="E132" s="28" t="s">
        <v>90</v>
      </c>
      <c r="F132" s="28">
        <v>0</v>
      </c>
      <c r="G132" s="28">
        <v>5</v>
      </c>
      <c r="H132" s="28" t="str">
        <f>IF(COUNTIFS('Question-Article-Match'!$A:$A,A132,'Question-Article-Match'!$C:$C,C132,'Question-Article-Match'!$F:$F,"direct match")&gt;0,"direct match",IF(COUNTIFS('Question-Article-Match'!$A:$A,A132,'Question-Article-Match'!$C:$C,C132,'Question-Article-Match'!$F:$F,"indirect match")&gt;0,"indirect match","no match"))</f>
        <v>no match</v>
      </c>
    </row>
    <row r="133" spans="1:8">
      <c r="A133" s="28" t="s">
        <v>135</v>
      </c>
      <c r="B133" s="28" t="s">
        <v>136</v>
      </c>
      <c r="C133" s="28">
        <v>17</v>
      </c>
      <c r="D133" s="28" t="s">
        <v>108</v>
      </c>
      <c r="E133" s="28" t="s">
        <v>109</v>
      </c>
      <c r="F133" s="28">
        <v>0</v>
      </c>
      <c r="G133" s="28">
        <v>6</v>
      </c>
      <c r="H133" s="28" t="str">
        <f>IF(COUNTIFS('Question-Article-Match'!$A:$A,A133,'Question-Article-Match'!$C:$C,C133,'Question-Article-Match'!$F:$F,"direct match")&gt;0,"direct match",IF(COUNTIFS('Question-Article-Match'!$A:$A,A133,'Question-Article-Match'!$C:$C,C133,'Question-Article-Match'!$F:$F,"indirect match")&gt;0,"indirect match","no match"))</f>
        <v>no match</v>
      </c>
    </row>
    <row r="134" spans="1:8">
      <c r="A134" s="28" t="s">
        <v>135</v>
      </c>
      <c r="B134" s="28" t="s">
        <v>136</v>
      </c>
      <c r="C134" s="28">
        <v>20</v>
      </c>
      <c r="D134" s="28" t="s">
        <v>113</v>
      </c>
      <c r="E134" s="28" t="s">
        <v>114</v>
      </c>
      <c r="F134" s="28">
        <v>0</v>
      </c>
      <c r="G134" s="28">
        <v>7</v>
      </c>
      <c r="H134" s="28" t="str">
        <f>IF(COUNTIFS('Question-Article-Match'!$A:$A,A134,'Question-Article-Match'!$C:$C,C134,'Question-Article-Match'!$F:$F,"direct match")&gt;0,"direct match",IF(COUNTIFS('Question-Article-Match'!$A:$A,A134,'Question-Article-Match'!$C:$C,C134,'Question-Article-Match'!$F:$F,"indirect match")&gt;0,"indirect match","no match"))</f>
        <v>no match</v>
      </c>
    </row>
    <row r="135" spans="1:8">
      <c r="A135" s="28" t="s">
        <v>135</v>
      </c>
      <c r="B135" s="28" t="s">
        <v>136</v>
      </c>
      <c r="C135" s="28">
        <v>7</v>
      </c>
      <c r="D135" s="28" t="s">
        <v>75</v>
      </c>
      <c r="E135" s="28" t="s">
        <v>76</v>
      </c>
      <c r="F135" s="28">
        <v>0</v>
      </c>
      <c r="G135" s="28">
        <v>8</v>
      </c>
      <c r="H135" s="28" t="str">
        <f>IF(COUNTIFS('Question-Article-Match'!$A:$A,A135,'Question-Article-Match'!$C:$C,C135,'Question-Article-Match'!$F:$F,"direct match")&gt;0,"direct match",IF(COUNTIFS('Question-Article-Match'!$A:$A,A135,'Question-Article-Match'!$C:$C,C135,'Question-Article-Match'!$F:$F,"indirect match")&gt;0,"indirect match","no match"))</f>
        <v>no match</v>
      </c>
    </row>
    <row r="136" spans="1:8">
      <c r="A136" s="28" t="s">
        <v>135</v>
      </c>
      <c r="B136" s="28" t="s">
        <v>136</v>
      </c>
      <c r="C136" s="28">
        <v>9</v>
      </c>
      <c r="D136" s="28" t="s">
        <v>10</v>
      </c>
      <c r="E136" s="28" t="s">
        <v>11</v>
      </c>
      <c r="F136" s="28">
        <v>0</v>
      </c>
      <c r="G136" s="28">
        <v>9</v>
      </c>
      <c r="H136" s="28" t="str">
        <f>IF(COUNTIFS('Question-Article-Match'!$A:$A,A136,'Question-Article-Match'!$C:$C,C136,'Question-Article-Match'!$F:$F,"direct match")&gt;0,"direct match",IF(COUNTIFS('Question-Article-Match'!$A:$A,A136,'Question-Article-Match'!$C:$C,C136,'Question-Article-Match'!$F:$F,"indirect match")&gt;0,"indirect match","no match"))</f>
        <v>no match</v>
      </c>
    </row>
    <row r="137" spans="1:8">
      <c r="A137" s="28" t="s">
        <v>135</v>
      </c>
      <c r="B137" s="28" t="s">
        <v>136</v>
      </c>
      <c r="C137" s="28">
        <v>13</v>
      </c>
      <c r="D137" s="28" t="s">
        <v>34</v>
      </c>
      <c r="E137" s="28" t="s">
        <v>35</v>
      </c>
      <c r="F137" s="28">
        <v>0</v>
      </c>
      <c r="G137" s="28">
        <v>10</v>
      </c>
      <c r="H137" s="28" t="str">
        <f>IF(COUNTIFS('Question-Article-Match'!$A:$A,A137,'Question-Article-Match'!$C:$C,C137,'Question-Article-Match'!$F:$F,"direct match")&gt;0,"direct match",IF(COUNTIFS('Question-Article-Match'!$A:$A,A137,'Question-Article-Match'!$C:$C,C137,'Question-Article-Match'!$F:$F,"indirect match")&gt;0,"indirect match","no match"))</f>
        <v>no match</v>
      </c>
    </row>
    <row r="138" spans="1:8">
      <c r="A138" s="28" t="s">
        <v>135</v>
      </c>
      <c r="B138" s="28" t="s">
        <v>136</v>
      </c>
      <c r="C138" s="28">
        <v>12</v>
      </c>
      <c r="D138" s="28" t="s">
        <v>20</v>
      </c>
      <c r="E138" s="28" t="s">
        <v>21</v>
      </c>
      <c r="F138" s="28">
        <v>0</v>
      </c>
      <c r="G138" s="28">
        <v>11</v>
      </c>
      <c r="H138" s="28" t="str">
        <f>IF(COUNTIFS('Question-Article-Match'!$A:$A,A138,'Question-Article-Match'!$C:$C,C138,'Question-Article-Match'!$F:$F,"direct match")&gt;0,"direct match",IF(COUNTIFS('Question-Article-Match'!$A:$A,A138,'Question-Article-Match'!$C:$C,C138,'Question-Article-Match'!$F:$F,"indirect match")&gt;0,"indirect match","no match"))</f>
        <v>no match</v>
      </c>
    </row>
    <row r="139" spans="1:8">
      <c r="A139" s="28" t="s">
        <v>135</v>
      </c>
      <c r="B139" s="28" t="s">
        <v>136</v>
      </c>
      <c r="C139" s="28">
        <v>5</v>
      </c>
      <c r="D139" s="28" t="s">
        <v>36</v>
      </c>
      <c r="E139" s="28" t="s">
        <v>37</v>
      </c>
      <c r="F139" s="28">
        <v>0</v>
      </c>
      <c r="G139" s="28">
        <v>12</v>
      </c>
      <c r="H139" s="28" t="str">
        <f>IF(COUNTIFS('Question-Article-Match'!$A:$A,A139,'Question-Article-Match'!$C:$C,C139,'Question-Article-Match'!$F:$F,"direct match")&gt;0,"direct match",IF(COUNTIFS('Question-Article-Match'!$A:$A,A139,'Question-Article-Match'!$C:$C,C139,'Question-Article-Match'!$F:$F,"indirect match")&gt;0,"indirect match","no match"))</f>
        <v>no match</v>
      </c>
    </row>
    <row r="140" spans="1:8">
      <c r="A140" s="28" t="s">
        <v>135</v>
      </c>
      <c r="B140" s="28" t="s">
        <v>136</v>
      </c>
      <c r="C140" s="28">
        <v>10</v>
      </c>
      <c r="D140" s="28" t="s">
        <v>32</v>
      </c>
      <c r="E140" s="28" t="s">
        <v>33</v>
      </c>
      <c r="F140" s="28">
        <v>0</v>
      </c>
      <c r="G140" s="28">
        <v>13</v>
      </c>
      <c r="H140" s="28" t="str">
        <f>IF(COUNTIFS('Question-Article-Match'!$A:$A,A140,'Question-Article-Match'!$C:$C,C140,'Question-Article-Match'!$F:$F,"direct match")&gt;0,"direct match",IF(COUNTIFS('Question-Article-Match'!$A:$A,A140,'Question-Article-Match'!$C:$C,C140,'Question-Article-Match'!$F:$F,"indirect match")&gt;0,"indirect match","no match"))</f>
        <v>no match</v>
      </c>
    </row>
    <row r="141" spans="1:8">
      <c r="A141" s="28" t="s">
        <v>135</v>
      </c>
      <c r="B141" s="28" t="s">
        <v>136</v>
      </c>
      <c r="C141" s="28">
        <v>21</v>
      </c>
      <c r="D141" s="28" t="s">
        <v>46</v>
      </c>
      <c r="E141" s="28" t="s">
        <v>47</v>
      </c>
      <c r="F141" s="28">
        <v>0</v>
      </c>
      <c r="G141" s="28">
        <v>14</v>
      </c>
      <c r="H141" s="28" t="str">
        <f>IF(COUNTIFS('Question-Article-Match'!$A:$A,A141,'Question-Article-Match'!$C:$C,C141,'Question-Article-Match'!$F:$F,"direct match")&gt;0,"direct match",IF(COUNTIFS('Question-Article-Match'!$A:$A,A141,'Question-Article-Match'!$C:$C,C141,'Question-Article-Match'!$F:$F,"indirect match")&gt;0,"indirect match","no match"))</f>
        <v>no match</v>
      </c>
    </row>
    <row r="142" spans="1:8">
      <c r="A142" s="28" t="s">
        <v>135</v>
      </c>
      <c r="B142" s="28" t="s">
        <v>136</v>
      </c>
      <c r="C142" s="28">
        <v>8</v>
      </c>
      <c r="D142" s="28" t="s">
        <v>40</v>
      </c>
      <c r="E142" s="28" t="s">
        <v>41</v>
      </c>
      <c r="F142" s="28">
        <v>0</v>
      </c>
      <c r="G142" s="28">
        <v>15</v>
      </c>
      <c r="H142" s="28" t="str">
        <f>IF(COUNTIFS('Question-Article-Match'!$A:$A,A142,'Question-Article-Match'!$C:$C,C142,'Question-Article-Match'!$F:$F,"direct match")&gt;0,"direct match",IF(COUNTIFS('Question-Article-Match'!$A:$A,A142,'Question-Article-Match'!$C:$C,C142,'Question-Article-Match'!$F:$F,"indirect match")&gt;0,"indirect match","no match"))</f>
        <v>no match</v>
      </c>
    </row>
    <row r="143" spans="1:8">
      <c r="A143" s="28" t="s">
        <v>135</v>
      </c>
      <c r="B143" s="28" t="s">
        <v>136</v>
      </c>
      <c r="C143" s="28">
        <v>1</v>
      </c>
      <c r="D143" s="28" t="s">
        <v>22</v>
      </c>
      <c r="E143" s="28" t="s">
        <v>23</v>
      </c>
      <c r="F143" s="28">
        <v>0</v>
      </c>
      <c r="G143" s="28">
        <v>16</v>
      </c>
      <c r="H143" s="28" t="str">
        <f>IF(COUNTIFS('Question-Article-Match'!$A:$A,A143,'Question-Article-Match'!$C:$C,C143,'Question-Article-Match'!$F:$F,"direct match")&gt;0,"direct match",IF(COUNTIFS('Question-Article-Match'!$A:$A,A143,'Question-Article-Match'!$C:$C,C143,'Question-Article-Match'!$F:$F,"indirect match")&gt;0,"indirect match","no match"))</f>
        <v>no match</v>
      </c>
    </row>
    <row r="144" spans="1:8">
      <c r="A144" s="28" t="s">
        <v>135</v>
      </c>
      <c r="B144" s="28" t="s">
        <v>136</v>
      </c>
      <c r="C144" s="28">
        <v>2</v>
      </c>
      <c r="D144" s="28" t="s">
        <v>18</v>
      </c>
      <c r="E144" s="28" t="s">
        <v>19</v>
      </c>
      <c r="F144" s="28">
        <v>0</v>
      </c>
      <c r="G144" s="28">
        <v>17</v>
      </c>
      <c r="H144" s="28" t="str">
        <f>IF(COUNTIFS('Question-Article-Match'!$A:$A,A144,'Question-Article-Match'!$C:$C,C144,'Question-Article-Match'!$F:$F,"direct match")&gt;0,"direct match",IF(COUNTIFS('Question-Article-Match'!$A:$A,A144,'Question-Article-Match'!$C:$C,C144,'Question-Article-Match'!$F:$F,"indirect match")&gt;0,"indirect match","no match"))</f>
        <v>no match</v>
      </c>
    </row>
    <row r="145" spans="1:8">
      <c r="A145" s="28" t="s">
        <v>135</v>
      </c>
      <c r="B145" s="28" t="s">
        <v>136</v>
      </c>
      <c r="C145" s="28">
        <v>18</v>
      </c>
      <c r="D145" s="28" t="s">
        <v>24</v>
      </c>
      <c r="E145" s="28" t="s">
        <v>25</v>
      </c>
      <c r="F145" s="28">
        <v>0</v>
      </c>
      <c r="G145" s="28">
        <v>18</v>
      </c>
      <c r="H145" s="28" t="str">
        <f>IF(COUNTIFS('Question-Article-Match'!$A:$A,A145,'Question-Article-Match'!$C:$C,C145,'Question-Article-Match'!$F:$F,"direct match")&gt;0,"direct match",IF(COUNTIFS('Question-Article-Match'!$A:$A,A145,'Question-Article-Match'!$C:$C,C145,'Question-Article-Match'!$F:$F,"indirect match")&gt;0,"indirect match","no match"))</f>
        <v>no match</v>
      </c>
    </row>
    <row r="146" spans="1:8">
      <c r="A146" s="28" t="s">
        <v>135</v>
      </c>
      <c r="B146" s="28" t="s">
        <v>136</v>
      </c>
      <c r="C146" s="28">
        <v>4</v>
      </c>
      <c r="D146" s="28" t="s">
        <v>64</v>
      </c>
      <c r="E146" s="28" t="s">
        <v>65</v>
      </c>
      <c r="F146" s="28">
        <v>0</v>
      </c>
      <c r="G146" s="28">
        <v>19</v>
      </c>
      <c r="H146" s="28" t="str">
        <f>IF(COUNTIFS('Question-Article-Match'!$A:$A,A146,'Question-Article-Match'!$C:$C,C146,'Question-Article-Match'!$F:$F,"direct match")&gt;0,"direct match",IF(COUNTIFS('Question-Article-Match'!$A:$A,A146,'Question-Article-Match'!$C:$C,C146,'Question-Article-Match'!$F:$F,"indirect match")&gt;0,"indirect match","no match"))</f>
        <v>no match</v>
      </c>
    </row>
    <row r="147" spans="1:8">
      <c r="A147" s="28" t="s">
        <v>135</v>
      </c>
      <c r="B147" s="28" t="s">
        <v>136</v>
      </c>
      <c r="C147" s="28">
        <v>6</v>
      </c>
      <c r="D147" s="28" t="s">
        <v>28</v>
      </c>
      <c r="E147" s="28" t="s">
        <v>29</v>
      </c>
      <c r="F147" s="28">
        <v>0</v>
      </c>
      <c r="G147" s="28">
        <v>20</v>
      </c>
      <c r="H147" s="28" t="str">
        <f>IF(COUNTIFS('Question-Article-Match'!$A:$A,A147,'Question-Article-Match'!$C:$C,C147,'Question-Article-Match'!$F:$F,"direct match")&gt;0,"direct match",IF(COUNTIFS('Question-Article-Match'!$A:$A,A147,'Question-Article-Match'!$C:$C,C147,'Question-Article-Match'!$F:$F,"indirect match")&gt;0,"indirect match","no match"))</f>
        <v>no match</v>
      </c>
    </row>
    <row r="148" spans="1:8">
      <c r="A148" s="28" t="s">
        <v>135</v>
      </c>
      <c r="B148" s="28" t="s">
        <v>136</v>
      </c>
      <c r="C148" s="28">
        <v>15</v>
      </c>
      <c r="D148" s="28" t="s">
        <v>42</v>
      </c>
      <c r="E148" s="28" t="s">
        <v>43</v>
      </c>
      <c r="F148" s="28">
        <v>0</v>
      </c>
      <c r="G148" s="28">
        <v>21</v>
      </c>
      <c r="H148" s="28" t="str">
        <f>IF(COUNTIFS('Question-Article-Match'!$A:$A,A148,'Question-Article-Match'!$C:$C,C148,'Question-Article-Match'!$F:$F,"direct match")&gt;0,"direct match",IF(COUNTIFS('Question-Article-Match'!$A:$A,A148,'Question-Article-Match'!$C:$C,C148,'Question-Article-Match'!$F:$F,"indirect match")&gt;0,"indirect match","no match"))</f>
        <v>indirect match</v>
      </c>
    </row>
    <row r="149" spans="1:8">
      <c r="A149" s="28" t="s">
        <v>138</v>
      </c>
      <c r="B149" s="28" t="s">
        <v>139</v>
      </c>
      <c r="C149" s="28">
        <v>2</v>
      </c>
      <c r="D149" s="28" t="s">
        <v>18</v>
      </c>
      <c r="E149" s="28" t="s">
        <v>19</v>
      </c>
      <c r="F149" s="28">
        <v>0.5</v>
      </c>
      <c r="G149" s="28">
        <v>1</v>
      </c>
      <c r="H149" s="28" t="str">
        <f>IF(COUNTIFS('Question-Article-Match'!$A:$A,A149,'Question-Article-Match'!$C:$C,C149,'Question-Article-Match'!$F:$F,"direct match")&gt;0,"direct match",IF(COUNTIFS('Question-Article-Match'!$A:$A,A149,'Question-Article-Match'!$C:$C,C149,'Question-Article-Match'!$F:$F,"indirect match")&gt;0,"indirect match","no match"))</f>
        <v>no match</v>
      </c>
    </row>
    <row r="150" spans="1:8">
      <c r="A150" s="28" t="s">
        <v>138</v>
      </c>
      <c r="B150" s="28" t="s">
        <v>139</v>
      </c>
      <c r="C150" s="28">
        <v>3</v>
      </c>
      <c r="D150" s="28" t="s">
        <v>26</v>
      </c>
      <c r="E150" s="28" t="s">
        <v>27</v>
      </c>
      <c r="F150" s="28">
        <v>0.5</v>
      </c>
      <c r="G150" s="28">
        <v>2</v>
      </c>
      <c r="H150" s="28" t="str">
        <f>IF(COUNTIFS('Question-Article-Match'!$A:$A,A150,'Question-Article-Match'!$C:$C,C150,'Question-Article-Match'!$F:$F,"direct match")&gt;0,"direct match",IF(COUNTIFS('Question-Article-Match'!$A:$A,A150,'Question-Article-Match'!$C:$C,C150,'Question-Article-Match'!$F:$F,"indirect match")&gt;0,"indirect match","no match"))</f>
        <v>indirect match</v>
      </c>
    </row>
    <row r="151" spans="1:8">
      <c r="A151" s="28" t="s">
        <v>138</v>
      </c>
      <c r="B151" s="28" t="s">
        <v>139</v>
      </c>
      <c r="C151" s="28">
        <v>7</v>
      </c>
      <c r="D151" s="28" t="s">
        <v>75</v>
      </c>
      <c r="E151" s="28" t="s">
        <v>76</v>
      </c>
      <c r="F151" s="28">
        <v>0.4</v>
      </c>
      <c r="G151" s="28">
        <v>3</v>
      </c>
      <c r="H151" s="28" t="str">
        <f>IF(COUNTIFS('Question-Article-Match'!$A:$A,A151,'Question-Article-Match'!$C:$C,C151,'Question-Article-Match'!$F:$F,"direct match")&gt;0,"direct match",IF(COUNTIFS('Question-Article-Match'!$A:$A,A151,'Question-Article-Match'!$C:$C,C151,'Question-Article-Match'!$F:$F,"indirect match")&gt;0,"indirect match","no match"))</f>
        <v>no match</v>
      </c>
    </row>
    <row r="152" spans="1:8">
      <c r="A152" s="28" t="s">
        <v>138</v>
      </c>
      <c r="B152" s="28" t="s">
        <v>139</v>
      </c>
      <c r="C152" s="28">
        <v>1</v>
      </c>
      <c r="D152" s="28" t="s">
        <v>22</v>
      </c>
      <c r="E152" s="28" t="s">
        <v>23</v>
      </c>
      <c r="F152" s="28">
        <v>0.4</v>
      </c>
      <c r="G152" s="28">
        <v>4</v>
      </c>
      <c r="H152" s="28" t="str">
        <f>IF(COUNTIFS('Question-Article-Match'!$A:$A,A152,'Question-Article-Match'!$C:$C,C152,'Question-Article-Match'!$F:$F,"direct match")&gt;0,"direct match",IF(COUNTIFS('Question-Article-Match'!$A:$A,A152,'Question-Article-Match'!$C:$C,C152,'Question-Article-Match'!$F:$F,"indirect match")&gt;0,"indirect match","no match"))</f>
        <v>no match</v>
      </c>
    </row>
    <row r="153" spans="1:8">
      <c r="A153" s="28" t="s">
        <v>138</v>
      </c>
      <c r="B153" s="28" t="s">
        <v>139</v>
      </c>
      <c r="C153" s="28">
        <v>18</v>
      </c>
      <c r="D153" s="28" t="s">
        <v>24</v>
      </c>
      <c r="E153" s="28" t="s">
        <v>25</v>
      </c>
      <c r="F153" s="28">
        <v>0.3</v>
      </c>
      <c r="G153" s="28">
        <v>5</v>
      </c>
      <c r="H153" s="28" t="str">
        <f>IF(COUNTIFS('Question-Article-Match'!$A:$A,A153,'Question-Article-Match'!$C:$C,C153,'Question-Article-Match'!$F:$F,"direct match")&gt;0,"direct match",IF(COUNTIFS('Question-Article-Match'!$A:$A,A153,'Question-Article-Match'!$C:$C,C153,'Question-Article-Match'!$F:$F,"indirect match")&gt;0,"indirect match","no match"))</f>
        <v>no match</v>
      </c>
    </row>
    <row r="154" spans="1:8">
      <c r="A154" s="28" t="s">
        <v>138</v>
      </c>
      <c r="B154" s="28" t="s">
        <v>139</v>
      </c>
      <c r="C154" s="28">
        <v>9</v>
      </c>
      <c r="D154" s="28" t="s">
        <v>10</v>
      </c>
      <c r="E154" s="28" t="s">
        <v>11</v>
      </c>
      <c r="F154" s="28">
        <v>0.2</v>
      </c>
      <c r="G154" s="28">
        <v>6</v>
      </c>
      <c r="H154" s="28" t="str">
        <f>IF(COUNTIFS('Question-Article-Match'!$A:$A,A154,'Question-Article-Match'!$C:$C,C154,'Question-Article-Match'!$F:$F,"direct match")&gt;0,"direct match",IF(COUNTIFS('Question-Article-Match'!$A:$A,A154,'Question-Article-Match'!$C:$C,C154,'Question-Article-Match'!$F:$F,"indirect match")&gt;0,"indirect match","no match"))</f>
        <v>no match</v>
      </c>
    </row>
    <row r="155" spans="1:8">
      <c r="A155" s="28" t="s">
        <v>138</v>
      </c>
      <c r="B155" s="28" t="s">
        <v>139</v>
      </c>
      <c r="C155" s="28">
        <v>12</v>
      </c>
      <c r="D155" s="28" t="s">
        <v>20</v>
      </c>
      <c r="E155" s="28" t="s">
        <v>21</v>
      </c>
      <c r="F155" s="28">
        <v>0.2</v>
      </c>
      <c r="G155" s="28">
        <v>7</v>
      </c>
      <c r="H155" s="28" t="str">
        <f>IF(COUNTIFS('Question-Article-Match'!$A:$A,A155,'Question-Article-Match'!$C:$C,C155,'Question-Article-Match'!$F:$F,"direct match")&gt;0,"direct match",IF(COUNTIFS('Question-Article-Match'!$A:$A,A155,'Question-Article-Match'!$C:$C,C155,'Question-Article-Match'!$F:$F,"indirect match")&gt;0,"indirect match","no match"))</f>
        <v>no match</v>
      </c>
    </row>
    <row r="156" spans="1:8">
      <c r="A156" s="28" t="s">
        <v>138</v>
      </c>
      <c r="B156" s="28" t="s">
        <v>139</v>
      </c>
      <c r="C156" s="28">
        <v>10</v>
      </c>
      <c r="D156" s="28" t="s">
        <v>32</v>
      </c>
      <c r="E156" s="28" t="s">
        <v>33</v>
      </c>
      <c r="F156" s="28">
        <v>0.2</v>
      </c>
      <c r="G156" s="28">
        <v>8</v>
      </c>
      <c r="H156" s="28" t="str">
        <f>IF(COUNTIFS('Question-Article-Match'!$A:$A,A156,'Question-Article-Match'!$C:$C,C156,'Question-Article-Match'!$F:$F,"direct match")&gt;0,"direct match",IF(COUNTIFS('Question-Article-Match'!$A:$A,A156,'Question-Article-Match'!$C:$C,C156,'Question-Article-Match'!$F:$F,"indirect match")&gt;0,"indirect match","no match"))</f>
        <v>no match</v>
      </c>
    </row>
    <row r="157" spans="1:8">
      <c r="A157" s="28" t="s">
        <v>138</v>
      </c>
      <c r="B157" s="28" t="s">
        <v>139</v>
      </c>
      <c r="C157" s="28">
        <v>21</v>
      </c>
      <c r="D157" s="28" t="s">
        <v>46</v>
      </c>
      <c r="E157" s="28" t="s">
        <v>47</v>
      </c>
      <c r="F157" s="28">
        <v>0.2</v>
      </c>
      <c r="G157" s="28">
        <v>9</v>
      </c>
      <c r="H157" s="28" t="str">
        <f>IF(COUNTIFS('Question-Article-Match'!$A:$A,A157,'Question-Article-Match'!$C:$C,C157,'Question-Article-Match'!$F:$F,"direct match")&gt;0,"direct match",IF(COUNTIFS('Question-Article-Match'!$A:$A,A157,'Question-Article-Match'!$C:$C,C157,'Question-Article-Match'!$F:$F,"indirect match")&gt;0,"indirect match","no match"))</f>
        <v>indirect match</v>
      </c>
    </row>
    <row r="158" spans="1:8">
      <c r="A158" s="28" t="s">
        <v>138</v>
      </c>
      <c r="B158" s="28" t="s">
        <v>139</v>
      </c>
      <c r="C158" s="28">
        <v>8</v>
      </c>
      <c r="D158" s="28" t="s">
        <v>40</v>
      </c>
      <c r="E158" s="28" t="s">
        <v>41</v>
      </c>
      <c r="F158" s="28">
        <v>0.2</v>
      </c>
      <c r="G158" s="28">
        <v>10</v>
      </c>
      <c r="H158" s="28" t="str">
        <f>IF(COUNTIFS('Question-Article-Match'!$A:$A,A158,'Question-Article-Match'!$C:$C,C158,'Question-Article-Match'!$F:$F,"direct match")&gt;0,"direct match",IF(COUNTIFS('Question-Article-Match'!$A:$A,A158,'Question-Article-Match'!$C:$C,C158,'Question-Article-Match'!$F:$F,"indirect match")&gt;0,"indirect match","no match"))</f>
        <v>no match</v>
      </c>
    </row>
    <row r="159" spans="1:8">
      <c r="A159" s="28" t="s">
        <v>138</v>
      </c>
      <c r="B159" s="28" t="s">
        <v>139</v>
      </c>
      <c r="C159" s="28">
        <v>16</v>
      </c>
      <c r="D159" s="28" t="s">
        <v>12</v>
      </c>
      <c r="E159" s="28" t="s">
        <v>13</v>
      </c>
      <c r="F159" s="28">
        <v>0.2</v>
      </c>
      <c r="G159" s="28">
        <v>11</v>
      </c>
      <c r="H159" s="28" t="str">
        <f>IF(COUNTIFS('Question-Article-Match'!$A:$A,A159,'Question-Article-Match'!$C:$C,C159,'Question-Article-Match'!$F:$F,"direct match")&gt;0,"direct match",IF(COUNTIFS('Question-Article-Match'!$A:$A,A159,'Question-Article-Match'!$C:$C,C159,'Question-Article-Match'!$F:$F,"indirect match")&gt;0,"indirect match","no match"))</f>
        <v>no match</v>
      </c>
    </row>
    <row r="160" spans="1:8">
      <c r="A160" s="28" t="s">
        <v>138</v>
      </c>
      <c r="B160" s="28" t="s">
        <v>139</v>
      </c>
      <c r="C160" s="28">
        <v>19</v>
      </c>
      <c r="D160" s="28" t="s">
        <v>14</v>
      </c>
      <c r="E160" s="28" t="s">
        <v>15</v>
      </c>
      <c r="F160" s="28">
        <v>0.2</v>
      </c>
      <c r="G160" s="28">
        <v>12</v>
      </c>
      <c r="H160" s="28" t="str">
        <f>IF(COUNTIFS('Question-Article-Match'!$A:$A,A160,'Question-Article-Match'!$C:$C,C160,'Question-Article-Match'!$F:$F,"direct match")&gt;0,"direct match",IF(COUNTIFS('Question-Article-Match'!$A:$A,A160,'Question-Article-Match'!$C:$C,C160,'Question-Article-Match'!$F:$F,"indirect match")&gt;0,"indirect match","no match"))</f>
        <v>no match</v>
      </c>
    </row>
    <row r="161" spans="1:8">
      <c r="A161" s="28" t="s">
        <v>138</v>
      </c>
      <c r="B161" s="28" t="s">
        <v>139</v>
      </c>
      <c r="C161" s="28">
        <v>17</v>
      </c>
      <c r="D161" s="28" t="s">
        <v>108</v>
      </c>
      <c r="E161" s="28" t="s">
        <v>109</v>
      </c>
      <c r="F161" s="28">
        <v>0.1</v>
      </c>
      <c r="G161" s="28">
        <v>13</v>
      </c>
      <c r="H161" s="28" t="str">
        <f>IF(COUNTIFS('Question-Article-Match'!$A:$A,A161,'Question-Article-Match'!$C:$C,C161,'Question-Article-Match'!$F:$F,"direct match")&gt;0,"direct match",IF(COUNTIFS('Question-Article-Match'!$A:$A,A161,'Question-Article-Match'!$C:$C,C161,'Question-Article-Match'!$F:$F,"indirect match")&gt;0,"indirect match","no match"))</f>
        <v>indirect match</v>
      </c>
    </row>
    <row r="162" spans="1:8">
      <c r="A162" s="28" t="s">
        <v>138</v>
      </c>
      <c r="B162" s="28" t="s">
        <v>139</v>
      </c>
      <c r="C162" s="28">
        <v>13</v>
      </c>
      <c r="D162" s="28" t="s">
        <v>34</v>
      </c>
      <c r="E162" s="28" t="s">
        <v>35</v>
      </c>
      <c r="F162" s="28">
        <v>0.1</v>
      </c>
      <c r="G162" s="28">
        <v>14</v>
      </c>
      <c r="H162" s="28" t="str">
        <f>IF(COUNTIFS('Question-Article-Match'!$A:$A,A162,'Question-Article-Match'!$C:$C,C162,'Question-Article-Match'!$F:$F,"direct match")&gt;0,"direct match",IF(COUNTIFS('Question-Article-Match'!$A:$A,A162,'Question-Article-Match'!$C:$C,C162,'Question-Article-Match'!$F:$F,"indirect match")&gt;0,"indirect match","no match"))</f>
        <v>no match</v>
      </c>
    </row>
    <row r="163" spans="1:8">
      <c r="A163" s="28" t="s">
        <v>138</v>
      </c>
      <c r="B163" s="28" t="s">
        <v>139</v>
      </c>
      <c r="C163" s="28">
        <v>14</v>
      </c>
      <c r="D163" s="28" t="s">
        <v>16</v>
      </c>
      <c r="E163" s="28" t="s">
        <v>17</v>
      </c>
      <c r="F163" s="28">
        <v>0.1</v>
      </c>
      <c r="G163" s="28">
        <v>15</v>
      </c>
      <c r="H163" s="28" t="str">
        <f>IF(COUNTIFS('Question-Article-Match'!$A:$A,A163,'Question-Article-Match'!$C:$C,C163,'Question-Article-Match'!$F:$F,"direct match")&gt;0,"direct match",IF(COUNTIFS('Question-Article-Match'!$A:$A,A163,'Question-Article-Match'!$C:$C,C163,'Question-Article-Match'!$F:$F,"indirect match")&gt;0,"indirect match","no match"))</f>
        <v>direct match</v>
      </c>
    </row>
    <row r="164" spans="1:8">
      <c r="A164" s="28" t="s">
        <v>138</v>
      </c>
      <c r="B164" s="28" t="s">
        <v>139</v>
      </c>
      <c r="C164" s="28">
        <v>6</v>
      </c>
      <c r="D164" s="28" t="s">
        <v>28</v>
      </c>
      <c r="E164" s="28" t="s">
        <v>29</v>
      </c>
      <c r="F164" s="28">
        <v>0.1</v>
      </c>
      <c r="G164" s="28">
        <v>16</v>
      </c>
      <c r="H164" s="28" t="str">
        <f>IF(COUNTIFS('Question-Article-Match'!$A:$A,A164,'Question-Article-Match'!$C:$C,C164,'Question-Article-Match'!$F:$F,"direct match")&gt;0,"direct match",IF(COUNTIFS('Question-Article-Match'!$A:$A,A164,'Question-Article-Match'!$C:$C,C164,'Question-Article-Match'!$F:$F,"indirect match")&gt;0,"indirect match","no match"))</f>
        <v>no match</v>
      </c>
    </row>
    <row r="165" spans="1:8">
      <c r="A165" s="28" t="s">
        <v>138</v>
      </c>
      <c r="B165" s="28" t="s">
        <v>139</v>
      </c>
      <c r="C165" s="28">
        <v>11</v>
      </c>
      <c r="D165" s="28" t="s">
        <v>89</v>
      </c>
      <c r="E165" s="28" t="s">
        <v>90</v>
      </c>
      <c r="F165" s="28">
        <v>0</v>
      </c>
      <c r="G165" s="28">
        <v>17</v>
      </c>
      <c r="H165" s="28" t="str">
        <f>IF(COUNTIFS('Question-Article-Match'!$A:$A,A165,'Question-Article-Match'!$C:$C,C165,'Question-Article-Match'!$F:$F,"direct match")&gt;0,"direct match",IF(COUNTIFS('Question-Article-Match'!$A:$A,A165,'Question-Article-Match'!$C:$C,C165,'Question-Article-Match'!$F:$F,"indirect match")&gt;0,"indirect match","no match"))</f>
        <v>no match</v>
      </c>
    </row>
    <row r="166" spans="1:8">
      <c r="A166" s="28" t="s">
        <v>138</v>
      </c>
      <c r="B166" s="28" t="s">
        <v>139</v>
      </c>
      <c r="C166" s="28">
        <v>20</v>
      </c>
      <c r="D166" s="28" t="s">
        <v>113</v>
      </c>
      <c r="E166" s="28" t="s">
        <v>114</v>
      </c>
      <c r="F166" s="28">
        <v>0</v>
      </c>
      <c r="G166" s="28">
        <v>18</v>
      </c>
      <c r="H166" s="28" t="str">
        <f>IF(COUNTIFS('Question-Article-Match'!$A:$A,A166,'Question-Article-Match'!$C:$C,C166,'Question-Article-Match'!$F:$F,"direct match")&gt;0,"direct match",IF(COUNTIFS('Question-Article-Match'!$A:$A,A166,'Question-Article-Match'!$C:$C,C166,'Question-Article-Match'!$F:$F,"indirect match")&gt;0,"indirect match","no match"))</f>
        <v>no match</v>
      </c>
    </row>
    <row r="167" spans="1:8">
      <c r="A167" s="28" t="s">
        <v>138</v>
      </c>
      <c r="B167" s="28" t="s">
        <v>139</v>
      </c>
      <c r="C167" s="28">
        <v>5</v>
      </c>
      <c r="D167" s="28" t="s">
        <v>36</v>
      </c>
      <c r="E167" s="28" t="s">
        <v>37</v>
      </c>
      <c r="F167" s="28">
        <v>0</v>
      </c>
      <c r="G167" s="28">
        <v>19</v>
      </c>
      <c r="H167" s="28" t="str">
        <f>IF(COUNTIFS('Question-Article-Match'!$A:$A,A167,'Question-Article-Match'!$C:$C,C167,'Question-Article-Match'!$F:$F,"direct match")&gt;0,"direct match",IF(COUNTIFS('Question-Article-Match'!$A:$A,A167,'Question-Article-Match'!$C:$C,C167,'Question-Article-Match'!$F:$F,"indirect match")&gt;0,"indirect match","no match"))</f>
        <v>no match</v>
      </c>
    </row>
    <row r="168" spans="1:8">
      <c r="A168" s="28" t="s">
        <v>138</v>
      </c>
      <c r="B168" s="28" t="s">
        <v>139</v>
      </c>
      <c r="C168" s="28">
        <v>4</v>
      </c>
      <c r="D168" s="28" t="s">
        <v>64</v>
      </c>
      <c r="E168" s="28" t="s">
        <v>65</v>
      </c>
      <c r="F168" s="28">
        <v>0</v>
      </c>
      <c r="G168" s="28">
        <v>20</v>
      </c>
      <c r="H168" s="28" t="str">
        <f>IF(COUNTIFS('Question-Article-Match'!$A:$A,A168,'Question-Article-Match'!$C:$C,C168,'Question-Article-Match'!$F:$F,"direct match")&gt;0,"direct match",IF(COUNTIFS('Question-Article-Match'!$A:$A,A168,'Question-Article-Match'!$C:$C,C168,'Question-Article-Match'!$F:$F,"indirect match")&gt;0,"indirect match","no match"))</f>
        <v>no match</v>
      </c>
    </row>
    <row r="169" spans="1:8">
      <c r="A169" s="28" t="s">
        <v>138</v>
      </c>
      <c r="B169" s="28" t="s">
        <v>139</v>
      </c>
      <c r="C169" s="28">
        <v>15</v>
      </c>
      <c r="D169" s="28" t="s">
        <v>42</v>
      </c>
      <c r="E169" s="28" t="s">
        <v>43</v>
      </c>
      <c r="F169" s="28">
        <v>0</v>
      </c>
      <c r="G169" s="28">
        <v>21</v>
      </c>
      <c r="H169" s="28" t="str">
        <f>IF(COUNTIFS('Question-Article-Match'!$A:$A,A169,'Question-Article-Match'!$C:$C,C169,'Question-Article-Match'!$F:$F,"direct match")&gt;0,"direct match",IF(COUNTIFS('Question-Article-Match'!$A:$A,A169,'Question-Article-Match'!$C:$C,C169,'Question-Article-Match'!$F:$F,"indirect match")&gt;0,"indirect match","no match"))</f>
        <v>no match</v>
      </c>
    </row>
    <row r="170" spans="1:8">
      <c r="A170" s="28" t="s">
        <v>141</v>
      </c>
      <c r="B170" s="28" t="s">
        <v>142</v>
      </c>
      <c r="C170" s="28">
        <v>5</v>
      </c>
      <c r="D170" s="28" t="s">
        <v>36</v>
      </c>
      <c r="E170" s="28" t="s">
        <v>37</v>
      </c>
      <c r="F170" s="28">
        <v>0.5</v>
      </c>
      <c r="G170" s="28">
        <v>1</v>
      </c>
      <c r="H170" s="28" t="str">
        <f>IF(COUNTIFS('Question-Article-Match'!$A:$A,A170,'Question-Article-Match'!$C:$C,C170,'Question-Article-Match'!$F:$F,"direct match")&gt;0,"direct match",IF(COUNTIFS('Question-Article-Match'!$A:$A,A170,'Question-Article-Match'!$C:$C,C170,'Question-Article-Match'!$F:$F,"indirect match")&gt;0,"indirect match","no match"))</f>
        <v>indirect match</v>
      </c>
    </row>
    <row r="171" spans="1:8">
      <c r="A171" s="28" t="s">
        <v>141</v>
      </c>
      <c r="B171" s="28" t="s">
        <v>142</v>
      </c>
      <c r="C171" s="28">
        <v>6</v>
      </c>
      <c r="D171" s="28" t="s">
        <v>28</v>
      </c>
      <c r="E171" s="28" t="s">
        <v>29</v>
      </c>
      <c r="F171" s="28">
        <v>0.5</v>
      </c>
      <c r="G171" s="28">
        <v>2</v>
      </c>
      <c r="H171" s="28" t="str">
        <f>IF(COUNTIFS('Question-Article-Match'!$A:$A,A171,'Question-Article-Match'!$C:$C,C171,'Question-Article-Match'!$F:$F,"direct match")&gt;0,"direct match",IF(COUNTIFS('Question-Article-Match'!$A:$A,A171,'Question-Article-Match'!$C:$C,C171,'Question-Article-Match'!$F:$F,"indirect match")&gt;0,"indirect match","no match"))</f>
        <v>indirect match</v>
      </c>
    </row>
    <row r="172" spans="1:8">
      <c r="A172" s="28" t="s">
        <v>141</v>
      </c>
      <c r="B172" s="28" t="s">
        <v>142</v>
      </c>
      <c r="C172" s="28">
        <v>8</v>
      </c>
      <c r="D172" s="28" t="s">
        <v>40</v>
      </c>
      <c r="E172" s="28" t="s">
        <v>41</v>
      </c>
      <c r="F172" s="28">
        <v>0.4</v>
      </c>
      <c r="G172" s="28">
        <v>3</v>
      </c>
      <c r="H172" s="28" t="str">
        <f>IF(COUNTIFS('Question-Article-Match'!$A:$A,A172,'Question-Article-Match'!$C:$C,C172,'Question-Article-Match'!$F:$F,"direct match")&gt;0,"direct match",IF(COUNTIFS('Question-Article-Match'!$A:$A,A172,'Question-Article-Match'!$C:$C,C172,'Question-Article-Match'!$F:$F,"indirect match")&gt;0,"indirect match","no match"))</f>
        <v>indirect match</v>
      </c>
    </row>
    <row r="173" spans="1:8">
      <c r="A173" s="28" t="s">
        <v>141</v>
      </c>
      <c r="B173" s="28" t="s">
        <v>142</v>
      </c>
      <c r="C173" s="28">
        <v>16</v>
      </c>
      <c r="D173" s="28" t="s">
        <v>12</v>
      </c>
      <c r="E173" s="28" t="s">
        <v>13</v>
      </c>
      <c r="F173" s="28">
        <v>0.2</v>
      </c>
      <c r="G173" s="28">
        <v>4</v>
      </c>
      <c r="H173" s="28" t="str">
        <f>IF(COUNTIFS('Question-Article-Match'!$A:$A,A173,'Question-Article-Match'!$C:$C,C173,'Question-Article-Match'!$F:$F,"direct match")&gt;0,"direct match",IF(COUNTIFS('Question-Article-Match'!$A:$A,A173,'Question-Article-Match'!$C:$C,C173,'Question-Article-Match'!$F:$F,"indirect match")&gt;0,"indirect match","no match"))</f>
        <v>no match</v>
      </c>
    </row>
    <row r="174" spans="1:8">
      <c r="A174" s="28" t="s">
        <v>141</v>
      </c>
      <c r="B174" s="28" t="s">
        <v>142</v>
      </c>
      <c r="C174" s="28">
        <v>3</v>
      </c>
      <c r="D174" s="28" t="s">
        <v>26</v>
      </c>
      <c r="E174" s="28" t="s">
        <v>27</v>
      </c>
      <c r="F174" s="28">
        <v>0.2</v>
      </c>
      <c r="G174" s="28">
        <v>5</v>
      </c>
      <c r="H174" s="28" t="str">
        <f>IF(COUNTIFS('Question-Article-Match'!$A:$A,A174,'Question-Article-Match'!$C:$C,C174,'Question-Article-Match'!$F:$F,"direct match")&gt;0,"direct match",IF(COUNTIFS('Question-Article-Match'!$A:$A,A174,'Question-Article-Match'!$C:$C,C174,'Question-Article-Match'!$F:$F,"indirect match")&gt;0,"indirect match","no match"))</f>
        <v>no match</v>
      </c>
    </row>
    <row r="175" spans="1:8">
      <c r="A175" s="28" t="s">
        <v>141</v>
      </c>
      <c r="B175" s="28" t="s">
        <v>142</v>
      </c>
      <c r="C175" s="28">
        <v>9</v>
      </c>
      <c r="D175" s="28" t="s">
        <v>10</v>
      </c>
      <c r="E175" s="28" t="s">
        <v>11</v>
      </c>
      <c r="F175" s="28">
        <v>0.1</v>
      </c>
      <c r="G175" s="28">
        <v>6</v>
      </c>
      <c r="H175" s="28" t="str">
        <f>IF(COUNTIFS('Question-Article-Match'!$A:$A,A175,'Question-Article-Match'!$C:$C,C175,'Question-Article-Match'!$F:$F,"direct match")&gt;0,"direct match",IF(COUNTIFS('Question-Article-Match'!$A:$A,A175,'Question-Article-Match'!$C:$C,C175,'Question-Article-Match'!$F:$F,"indirect match")&gt;0,"indirect match","no match"))</f>
        <v>no match</v>
      </c>
    </row>
    <row r="176" spans="1:8">
      <c r="A176" s="28" t="s">
        <v>141</v>
      </c>
      <c r="B176" s="28" t="s">
        <v>142</v>
      </c>
      <c r="C176" s="28">
        <v>14</v>
      </c>
      <c r="D176" s="28" t="s">
        <v>16</v>
      </c>
      <c r="E176" s="28" t="s">
        <v>17</v>
      </c>
      <c r="F176" s="28">
        <v>0.1</v>
      </c>
      <c r="G176" s="28">
        <v>7</v>
      </c>
      <c r="H176" s="28" t="str">
        <f>IF(COUNTIFS('Question-Article-Match'!$A:$A,A176,'Question-Article-Match'!$C:$C,C176,'Question-Article-Match'!$F:$F,"direct match")&gt;0,"direct match",IF(COUNTIFS('Question-Article-Match'!$A:$A,A176,'Question-Article-Match'!$C:$C,C176,'Question-Article-Match'!$F:$F,"indirect match")&gt;0,"indirect match","no match"))</f>
        <v>no match</v>
      </c>
    </row>
    <row r="177" spans="1:8">
      <c r="A177" s="28" t="s">
        <v>141</v>
      </c>
      <c r="B177" s="28" t="s">
        <v>142</v>
      </c>
      <c r="C177" s="28">
        <v>19</v>
      </c>
      <c r="D177" s="28" t="s">
        <v>14</v>
      </c>
      <c r="E177" s="28" t="s">
        <v>15</v>
      </c>
      <c r="F177" s="28">
        <v>0.1</v>
      </c>
      <c r="G177" s="28">
        <v>8</v>
      </c>
      <c r="H177" s="28" t="str">
        <f>IF(COUNTIFS('Question-Article-Match'!$A:$A,A177,'Question-Article-Match'!$C:$C,C177,'Question-Article-Match'!$F:$F,"direct match")&gt;0,"direct match",IF(COUNTIFS('Question-Article-Match'!$A:$A,A177,'Question-Article-Match'!$C:$C,C177,'Question-Article-Match'!$F:$F,"indirect match")&gt;0,"indirect match","no match"))</f>
        <v>indirect match</v>
      </c>
    </row>
    <row r="178" spans="1:8">
      <c r="A178" s="28" t="s">
        <v>141</v>
      </c>
      <c r="B178" s="28" t="s">
        <v>142</v>
      </c>
      <c r="C178" s="28">
        <v>11</v>
      </c>
      <c r="D178" s="28" t="s">
        <v>89</v>
      </c>
      <c r="E178" s="28" t="s">
        <v>90</v>
      </c>
      <c r="F178" s="28">
        <v>0</v>
      </c>
      <c r="G178" s="28">
        <v>9</v>
      </c>
      <c r="H178" s="28" t="str">
        <f>IF(COUNTIFS('Question-Article-Match'!$A:$A,A178,'Question-Article-Match'!$C:$C,C178,'Question-Article-Match'!$F:$F,"direct match")&gt;0,"direct match",IF(COUNTIFS('Question-Article-Match'!$A:$A,A178,'Question-Article-Match'!$C:$C,C178,'Question-Article-Match'!$F:$F,"indirect match")&gt;0,"indirect match","no match"))</f>
        <v>no match</v>
      </c>
    </row>
    <row r="179" spans="1:8">
      <c r="A179" s="28" t="s">
        <v>141</v>
      </c>
      <c r="B179" s="28" t="s">
        <v>142</v>
      </c>
      <c r="C179" s="28">
        <v>17</v>
      </c>
      <c r="D179" s="28" t="s">
        <v>108</v>
      </c>
      <c r="E179" s="28" t="s">
        <v>109</v>
      </c>
      <c r="F179" s="28">
        <v>0</v>
      </c>
      <c r="G179" s="28">
        <v>10</v>
      </c>
      <c r="H179" s="28" t="str">
        <f>IF(COUNTIFS('Question-Article-Match'!$A:$A,A179,'Question-Article-Match'!$C:$C,C179,'Question-Article-Match'!$F:$F,"direct match")&gt;0,"direct match",IF(COUNTIFS('Question-Article-Match'!$A:$A,A179,'Question-Article-Match'!$C:$C,C179,'Question-Article-Match'!$F:$F,"indirect match")&gt;0,"indirect match","no match"))</f>
        <v>no match</v>
      </c>
    </row>
    <row r="180" spans="1:8">
      <c r="A180" s="28" t="s">
        <v>141</v>
      </c>
      <c r="B180" s="28" t="s">
        <v>142</v>
      </c>
      <c r="C180" s="28">
        <v>20</v>
      </c>
      <c r="D180" s="28" t="s">
        <v>113</v>
      </c>
      <c r="E180" s="28" t="s">
        <v>114</v>
      </c>
      <c r="F180" s="28">
        <v>0</v>
      </c>
      <c r="G180" s="28">
        <v>11</v>
      </c>
      <c r="H180" s="28" t="str">
        <f>IF(COUNTIFS('Question-Article-Match'!$A:$A,A180,'Question-Article-Match'!$C:$C,C180,'Question-Article-Match'!$F:$F,"direct match")&gt;0,"direct match",IF(COUNTIFS('Question-Article-Match'!$A:$A,A180,'Question-Article-Match'!$C:$C,C180,'Question-Article-Match'!$F:$F,"indirect match")&gt;0,"indirect match","no match"))</f>
        <v>no match</v>
      </c>
    </row>
    <row r="181" spans="1:8">
      <c r="A181" s="28" t="s">
        <v>141</v>
      </c>
      <c r="B181" s="28" t="s">
        <v>142</v>
      </c>
      <c r="C181" s="28">
        <v>7</v>
      </c>
      <c r="D181" s="28" t="s">
        <v>75</v>
      </c>
      <c r="E181" s="28" t="s">
        <v>76</v>
      </c>
      <c r="F181" s="28">
        <v>0</v>
      </c>
      <c r="G181" s="28">
        <v>12</v>
      </c>
      <c r="H181" s="28" t="str">
        <f>IF(COUNTIFS('Question-Article-Match'!$A:$A,A181,'Question-Article-Match'!$C:$C,C181,'Question-Article-Match'!$F:$F,"direct match")&gt;0,"direct match",IF(COUNTIFS('Question-Article-Match'!$A:$A,A181,'Question-Article-Match'!$C:$C,C181,'Question-Article-Match'!$F:$F,"indirect match")&gt;0,"indirect match","no match"))</f>
        <v>no match</v>
      </c>
    </row>
    <row r="182" spans="1:8">
      <c r="A182" s="28" t="s">
        <v>141</v>
      </c>
      <c r="B182" s="28" t="s">
        <v>142</v>
      </c>
      <c r="C182" s="28">
        <v>13</v>
      </c>
      <c r="D182" s="28" t="s">
        <v>34</v>
      </c>
      <c r="E182" s="28" t="s">
        <v>35</v>
      </c>
      <c r="F182" s="28">
        <v>0</v>
      </c>
      <c r="G182" s="28">
        <v>13</v>
      </c>
      <c r="H182" s="28" t="str">
        <f>IF(COUNTIFS('Question-Article-Match'!$A:$A,A182,'Question-Article-Match'!$C:$C,C182,'Question-Article-Match'!$F:$F,"direct match")&gt;0,"direct match",IF(COUNTIFS('Question-Article-Match'!$A:$A,A182,'Question-Article-Match'!$C:$C,C182,'Question-Article-Match'!$F:$F,"indirect match")&gt;0,"indirect match","no match"))</f>
        <v>no match</v>
      </c>
    </row>
    <row r="183" spans="1:8">
      <c r="A183" s="28" t="s">
        <v>141</v>
      </c>
      <c r="B183" s="28" t="s">
        <v>142</v>
      </c>
      <c r="C183" s="28">
        <v>12</v>
      </c>
      <c r="D183" s="28" t="s">
        <v>20</v>
      </c>
      <c r="E183" s="28" t="s">
        <v>21</v>
      </c>
      <c r="F183" s="28">
        <v>0</v>
      </c>
      <c r="G183" s="28">
        <v>14</v>
      </c>
      <c r="H183" s="28" t="str">
        <f>IF(COUNTIFS('Question-Article-Match'!$A:$A,A183,'Question-Article-Match'!$C:$C,C183,'Question-Article-Match'!$F:$F,"direct match")&gt;0,"direct match",IF(COUNTIFS('Question-Article-Match'!$A:$A,A183,'Question-Article-Match'!$C:$C,C183,'Question-Article-Match'!$F:$F,"indirect match")&gt;0,"indirect match","no match"))</f>
        <v>no match</v>
      </c>
    </row>
    <row r="184" spans="1:8">
      <c r="A184" s="28" t="s">
        <v>141</v>
      </c>
      <c r="B184" s="28" t="s">
        <v>142</v>
      </c>
      <c r="C184" s="28">
        <v>10</v>
      </c>
      <c r="D184" s="28" t="s">
        <v>32</v>
      </c>
      <c r="E184" s="28" t="s">
        <v>33</v>
      </c>
      <c r="F184" s="28">
        <v>0</v>
      </c>
      <c r="G184" s="28">
        <v>15</v>
      </c>
      <c r="H184" s="28" t="str">
        <f>IF(COUNTIFS('Question-Article-Match'!$A:$A,A184,'Question-Article-Match'!$C:$C,C184,'Question-Article-Match'!$F:$F,"direct match")&gt;0,"direct match",IF(COUNTIFS('Question-Article-Match'!$A:$A,A184,'Question-Article-Match'!$C:$C,C184,'Question-Article-Match'!$F:$F,"indirect match")&gt;0,"indirect match","no match"))</f>
        <v>no match</v>
      </c>
    </row>
    <row r="185" spans="1:8">
      <c r="A185" s="28" t="s">
        <v>141</v>
      </c>
      <c r="B185" s="28" t="s">
        <v>142</v>
      </c>
      <c r="C185" s="28">
        <v>21</v>
      </c>
      <c r="D185" s="28" t="s">
        <v>46</v>
      </c>
      <c r="E185" s="28" t="s">
        <v>47</v>
      </c>
      <c r="F185" s="28">
        <v>0</v>
      </c>
      <c r="G185" s="28">
        <v>16</v>
      </c>
      <c r="H185" s="28" t="str">
        <f>IF(COUNTIFS('Question-Article-Match'!$A:$A,A185,'Question-Article-Match'!$C:$C,C185,'Question-Article-Match'!$F:$F,"direct match")&gt;0,"direct match",IF(COUNTIFS('Question-Article-Match'!$A:$A,A185,'Question-Article-Match'!$C:$C,C185,'Question-Article-Match'!$F:$F,"indirect match")&gt;0,"indirect match","no match"))</f>
        <v>no match</v>
      </c>
    </row>
    <row r="186" spans="1:8">
      <c r="A186" s="28" t="s">
        <v>141</v>
      </c>
      <c r="B186" s="28" t="s">
        <v>142</v>
      </c>
      <c r="C186" s="28">
        <v>1</v>
      </c>
      <c r="D186" s="28" t="s">
        <v>22</v>
      </c>
      <c r="E186" s="28" t="s">
        <v>23</v>
      </c>
      <c r="F186" s="28">
        <v>0</v>
      </c>
      <c r="G186" s="28">
        <v>17</v>
      </c>
      <c r="H186" s="28" t="str">
        <f>IF(COUNTIFS('Question-Article-Match'!$A:$A,A186,'Question-Article-Match'!$C:$C,C186,'Question-Article-Match'!$F:$F,"direct match")&gt;0,"direct match",IF(COUNTIFS('Question-Article-Match'!$A:$A,A186,'Question-Article-Match'!$C:$C,C186,'Question-Article-Match'!$F:$F,"indirect match")&gt;0,"indirect match","no match"))</f>
        <v>no match</v>
      </c>
    </row>
    <row r="187" spans="1:8">
      <c r="A187" s="28" t="s">
        <v>141</v>
      </c>
      <c r="B187" s="28" t="s">
        <v>142</v>
      </c>
      <c r="C187" s="28">
        <v>2</v>
      </c>
      <c r="D187" s="28" t="s">
        <v>18</v>
      </c>
      <c r="E187" s="28" t="s">
        <v>19</v>
      </c>
      <c r="F187" s="28">
        <v>0</v>
      </c>
      <c r="G187" s="28">
        <v>18</v>
      </c>
      <c r="H187" s="28" t="str">
        <f>IF(COUNTIFS('Question-Article-Match'!$A:$A,A187,'Question-Article-Match'!$C:$C,C187,'Question-Article-Match'!$F:$F,"direct match")&gt;0,"direct match",IF(COUNTIFS('Question-Article-Match'!$A:$A,A187,'Question-Article-Match'!$C:$C,C187,'Question-Article-Match'!$F:$F,"indirect match")&gt;0,"indirect match","no match"))</f>
        <v>no match</v>
      </c>
    </row>
    <row r="188" spans="1:8">
      <c r="A188" s="28" t="s">
        <v>141</v>
      </c>
      <c r="B188" s="28" t="s">
        <v>142</v>
      </c>
      <c r="C188" s="28">
        <v>18</v>
      </c>
      <c r="D188" s="28" t="s">
        <v>24</v>
      </c>
      <c r="E188" s="28" t="s">
        <v>25</v>
      </c>
      <c r="F188" s="28">
        <v>0</v>
      </c>
      <c r="G188" s="28">
        <v>19</v>
      </c>
      <c r="H188" s="28" t="str">
        <f>IF(COUNTIFS('Question-Article-Match'!$A:$A,A188,'Question-Article-Match'!$C:$C,C188,'Question-Article-Match'!$F:$F,"direct match")&gt;0,"direct match",IF(COUNTIFS('Question-Article-Match'!$A:$A,A188,'Question-Article-Match'!$C:$C,C188,'Question-Article-Match'!$F:$F,"indirect match")&gt;0,"indirect match","no match"))</f>
        <v>no match</v>
      </c>
    </row>
    <row r="189" spans="1:8">
      <c r="A189" s="28" t="s">
        <v>141</v>
      </c>
      <c r="B189" s="28" t="s">
        <v>142</v>
      </c>
      <c r="C189" s="28">
        <v>4</v>
      </c>
      <c r="D189" s="28" t="s">
        <v>64</v>
      </c>
      <c r="E189" s="28" t="s">
        <v>65</v>
      </c>
      <c r="F189" s="28">
        <v>0</v>
      </c>
      <c r="G189" s="28">
        <v>20</v>
      </c>
      <c r="H189" s="28" t="str">
        <f>IF(COUNTIFS('Question-Article-Match'!$A:$A,A189,'Question-Article-Match'!$C:$C,C189,'Question-Article-Match'!$F:$F,"direct match")&gt;0,"direct match",IF(COUNTIFS('Question-Article-Match'!$A:$A,A189,'Question-Article-Match'!$C:$C,C189,'Question-Article-Match'!$F:$F,"indirect match")&gt;0,"indirect match","no match"))</f>
        <v>no match</v>
      </c>
    </row>
    <row r="190" spans="1:8">
      <c r="A190" s="28" t="s">
        <v>141</v>
      </c>
      <c r="B190" s="28" t="s">
        <v>142</v>
      </c>
      <c r="C190" s="28">
        <v>15</v>
      </c>
      <c r="D190" s="28" t="s">
        <v>42</v>
      </c>
      <c r="E190" s="28" t="s">
        <v>43</v>
      </c>
      <c r="F190" s="28">
        <v>0</v>
      </c>
      <c r="G190" s="28">
        <v>21</v>
      </c>
      <c r="H190" s="28" t="str">
        <f>IF(COUNTIFS('Question-Article-Match'!$A:$A,A190,'Question-Article-Match'!$C:$C,C190,'Question-Article-Match'!$F:$F,"direct match")&gt;0,"direct match",IF(COUNTIFS('Question-Article-Match'!$A:$A,A190,'Question-Article-Match'!$C:$C,C190,'Question-Article-Match'!$F:$F,"indirect match")&gt;0,"indirect match","no match"))</f>
        <v>no match</v>
      </c>
    </row>
    <row r="191" spans="1:8">
      <c r="A191" s="28" t="s">
        <v>144</v>
      </c>
      <c r="B191" s="28" t="s">
        <v>145</v>
      </c>
      <c r="C191" s="28">
        <v>11</v>
      </c>
      <c r="D191" s="28" t="s">
        <v>89</v>
      </c>
      <c r="E191" s="28" t="s">
        <v>90</v>
      </c>
      <c r="F191" s="28">
        <v>0.2</v>
      </c>
      <c r="G191" s="28">
        <v>1</v>
      </c>
      <c r="H191" s="28" t="str">
        <f>IF(COUNTIFS('Question-Article-Match'!$A:$A,A191,'Question-Article-Match'!$C:$C,C191,'Question-Article-Match'!$F:$F,"direct match")&gt;0,"direct match",IF(COUNTIFS('Question-Article-Match'!$A:$A,A191,'Question-Article-Match'!$C:$C,C191,'Question-Article-Match'!$F:$F,"indirect match")&gt;0,"indirect match","no match"))</f>
        <v>no match</v>
      </c>
    </row>
    <row r="192" spans="1:8">
      <c r="A192" s="28" t="s">
        <v>144</v>
      </c>
      <c r="B192" s="28" t="s">
        <v>145</v>
      </c>
      <c r="C192" s="28">
        <v>16</v>
      </c>
      <c r="D192" s="28" t="s">
        <v>12</v>
      </c>
      <c r="E192" s="28" t="s">
        <v>13</v>
      </c>
      <c r="F192" s="28">
        <v>0.2</v>
      </c>
      <c r="G192" s="28">
        <v>2</v>
      </c>
      <c r="H192" s="28" t="str">
        <f>IF(COUNTIFS('Question-Article-Match'!$A:$A,A192,'Question-Article-Match'!$C:$C,C192,'Question-Article-Match'!$F:$F,"direct match")&gt;0,"direct match",IF(COUNTIFS('Question-Article-Match'!$A:$A,A192,'Question-Article-Match'!$C:$C,C192,'Question-Article-Match'!$F:$F,"indirect match")&gt;0,"indirect match","no match"))</f>
        <v>no match</v>
      </c>
    </row>
    <row r="193" spans="1:8">
      <c r="A193" s="28" t="s">
        <v>144</v>
      </c>
      <c r="B193" s="28" t="s">
        <v>145</v>
      </c>
      <c r="C193" s="28">
        <v>3</v>
      </c>
      <c r="D193" s="28" t="s">
        <v>26</v>
      </c>
      <c r="E193" s="28" t="s">
        <v>27</v>
      </c>
      <c r="F193" s="28">
        <v>0.2</v>
      </c>
      <c r="G193" s="28">
        <v>3</v>
      </c>
      <c r="H193" s="28" t="str">
        <f>IF(COUNTIFS('Question-Article-Match'!$A:$A,A193,'Question-Article-Match'!$C:$C,C193,'Question-Article-Match'!$F:$F,"direct match")&gt;0,"direct match",IF(COUNTIFS('Question-Article-Match'!$A:$A,A193,'Question-Article-Match'!$C:$C,C193,'Question-Article-Match'!$F:$F,"indirect match")&gt;0,"indirect match","no match"))</f>
        <v>no match</v>
      </c>
    </row>
    <row r="194" spans="1:8">
      <c r="A194" s="28" t="s">
        <v>144</v>
      </c>
      <c r="B194" s="28" t="s">
        <v>145</v>
      </c>
      <c r="C194" s="28">
        <v>19</v>
      </c>
      <c r="D194" s="28" t="s">
        <v>14</v>
      </c>
      <c r="E194" s="28" t="s">
        <v>15</v>
      </c>
      <c r="F194" s="28">
        <v>0.2</v>
      </c>
      <c r="G194" s="28">
        <v>4</v>
      </c>
      <c r="H194" s="28" t="str">
        <f>IF(COUNTIFS('Question-Article-Match'!$A:$A,A194,'Question-Article-Match'!$C:$C,C194,'Question-Article-Match'!$F:$F,"direct match")&gt;0,"direct match",IF(COUNTIFS('Question-Article-Match'!$A:$A,A194,'Question-Article-Match'!$C:$C,C194,'Question-Article-Match'!$F:$F,"indirect match")&gt;0,"indirect match","no match"))</f>
        <v>indirect match</v>
      </c>
    </row>
    <row r="195" spans="1:8">
      <c r="A195" s="28" t="s">
        <v>144</v>
      </c>
      <c r="B195" s="28" t="s">
        <v>145</v>
      </c>
      <c r="C195" s="28">
        <v>5</v>
      </c>
      <c r="D195" s="28" t="s">
        <v>36</v>
      </c>
      <c r="E195" s="28" t="s">
        <v>37</v>
      </c>
      <c r="F195" s="28">
        <v>0.1</v>
      </c>
      <c r="G195" s="28">
        <v>5</v>
      </c>
      <c r="H195" s="28" t="str">
        <f>IF(COUNTIFS('Question-Article-Match'!$A:$A,A195,'Question-Article-Match'!$C:$C,C195,'Question-Article-Match'!$F:$F,"direct match")&gt;0,"direct match",IF(COUNTIFS('Question-Article-Match'!$A:$A,A195,'Question-Article-Match'!$C:$C,C195,'Question-Article-Match'!$F:$F,"indirect match")&gt;0,"indirect match","no match"))</f>
        <v>no match</v>
      </c>
    </row>
    <row r="196" spans="1:8">
      <c r="A196" s="28" t="s">
        <v>144</v>
      </c>
      <c r="B196" s="28" t="s">
        <v>145</v>
      </c>
      <c r="C196" s="28">
        <v>14</v>
      </c>
      <c r="D196" s="28" t="s">
        <v>16</v>
      </c>
      <c r="E196" s="28" t="s">
        <v>17</v>
      </c>
      <c r="F196" s="28">
        <v>0.1</v>
      </c>
      <c r="G196" s="28">
        <v>6</v>
      </c>
      <c r="H196" s="28" t="str">
        <f>IF(COUNTIFS('Question-Article-Match'!$A:$A,A196,'Question-Article-Match'!$C:$C,C196,'Question-Article-Match'!$F:$F,"direct match")&gt;0,"direct match",IF(COUNTIFS('Question-Article-Match'!$A:$A,A196,'Question-Article-Match'!$C:$C,C196,'Question-Article-Match'!$F:$F,"indirect match")&gt;0,"indirect match","no match"))</f>
        <v>no match</v>
      </c>
    </row>
    <row r="197" spans="1:8">
      <c r="A197" s="28" t="s">
        <v>144</v>
      </c>
      <c r="B197" s="28" t="s">
        <v>145</v>
      </c>
      <c r="C197" s="28">
        <v>17</v>
      </c>
      <c r="D197" s="28" t="s">
        <v>108</v>
      </c>
      <c r="E197" s="28" t="s">
        <v>109</v>
      </c>
      <c r="F197" s="28">
        <v>0</v>
      </c>
      <c r="G197" s="28">
        <v>7</v>
      </c>
      <c r="H197" s="28" t="str">
        <f>IF(COUNTIFS('Question-Article-Match'!$A:$A,A197,'Question-Article-Match'!$C:$C,C197,'Question-Article-Match'!$F:$F,"direct match")&gt;0,"direct match",IF(COUNTIFS('Question-Article-Match'!$A:$A,A197,'Question-Article-Match'!$C:$C,C197,'Question-Article-Match'!$F:$F,"indirect match")&gt;0,"indirect match","no match"))</f>
        <v>no match</v>
      </c>
    </row>
    <row r="198" spans="1:8">
      <c r="A198" s="28" t="s">
        <v>144</v>
      </c>
      <c r="B198" s="28" t="s">
        <v>145</v>
      </c>
      <c r="C198" s="28">
        <v>20</v>
      </c>
      <c r="D198" s="28" t="s">
        <v>113</v>
      </c>
      <c r="E198" s="28" t="s">
        <v>114</v>
      </c>
      <c r="F198" s="28">
        <v>0</v>
      </c>
      <c r="G198" s="28">
        <v>8</v>
      </c>
      <c r="H198" s="28" t="str">
        <f>IF(COUNTIFS('Question-Article-Match'!$A:$A,A198,'Question-Article-Match'!$C:$C,C198,'Question-Article-Match'!$F:$F,"direct match")&gt;0,"direct match",IF(COUNTIFS('Question-Article-Match'!$A:$A,A198,'Question-Article-Match'!$C:$C,C198,'Question-Article-Match'!$F:$F,"indirect match")&gt;0,"indirect match","no match"))</f>
        <v>no match</v>
      </c>
    </row>
    <row r="199" spans="1:8">
      <c r="A199" s="28" t="s">
        <v>144</v>
      </c>
      <c r="B199" s="28" t="s">
        <v>145</v>
      </c>
      <c r="C199" s="28">
        <v>7</v>
      </c>
      <c r="D199" s="28" t="s">
        <v>75</v>
      </c>
      <c r="E199" s="28" t="s">
        <v>76</v>
      </c>
      <c r="F199" s="28">
        <v>0</v>
      </c>
      <c r="G199" s="28">
        <v>9</v>
      </c>
      <c r="H199" s="28" t="str">
        <f>IF(COUNTIFS('Question-Article-Match'!$A:$A,A199,'Question-Article-Match'!$C:$C,C199,'Question-Article-Match'!$F:$F,"direct match")&gt;0,"direct match",IF(COUNTIFS('Question-Article-Match'!$A:$A,A199,'Question-Article-Match'!$C:$C,C199,'Question-Article-Match'!$F:$F,"indirect match")&gt;0,"indirect match","no match"))</f>
        <v>no match</v>
      </c>
    </row>
    <row r="200" spans="1:8">
      <c r="A200" s="28" t="s">
        <v>144</v>
      </c>
      <c r="B200" s="28" t="s">
        <v>145</v>
      </c>
      <c r="C200" s="28">
        <v>9</v>
      </c>
      <c r="D200" s="28" t="s">
        <v>10</v>
      </c>
      <c r="E200" s="28" t="s">
        <v>11</v>
      </c>
      <c r="F200" s="28">
        <v>0</v>
      </c>
      <c r="G200" s="28">
        <v>10</v>
      </c>
      <c r="H200" s="28" t="str">
        <f>IF(COUNTIFS('Question-Article-Match'!$A:$A,A200,'Question-Article-Match'!$C:$C,C200,'Question-Article-Match'!$F:$F,"direct match")&gt;0,"direct match",IF(COUNTIFS('Question-Article-Match'!$A:$A,A200,'Question-Article-Match'!$C:$C,C200,'Question-Article-Match'!$F:$F,"indirect match")&gt;0,"indirect match","no match"))</f>
        <v>no match</v>
      </c>
    </row>
    <row r="201" spans="1:8">
      <c r="A201" s="28" t="s">
        <v>144</v>
      </c>
      <c r="B201" s="28" t="s">
        <v>145</v>
      </c>
      <c r="C201" s="28">
        <v>13</v>
      </c>
      <c r="D201" s="28" t="s">
        <v>34</v>
      </c>
      <c r="E201" s="28" t="s">
        <v>35</v>
      </c>
      <c r="F201" s="28">
        <v>0</v>
      </c>
      <c r="G201" s="28">
        <v>11</v>
      </c>
      <c r="H201" s="28" t="str">
        <f>IF(COUNTIFS('Question-Article-Match'!$A:$A,A201,'Question-Article-Match'!$C:$C,C201,'Question-Article-Match'!$F:$F,"direct match")&gt;0,"direct match",IF(COUNTIFS('Question-Article-Match'!$A:$A,A201,'Question-Article-Match'!$C:$C,C201,'Question-Article-Match'!$F:$F,"indirect match")&gt;0,"indirect match","no match"))</f>
        <v>no match</v>
      </c>
    </row>
    <row r="202" spans="1:8">
      <c r="A202" s="28" t="s">
        <v>144</v>
      </c>
      <c r="B202" s="28" t="s">
        <v>145</v>
      </c>
      <c r="C202" s="28">
        <v>12</v>
      </c>
      <c r="D202" s="28" t="s">
        <v>20</v>
      </c>
      <c r="E202" s="28" t="s">
        <v>21</v>
      </c>
      <c r="F202" s="28">
        <v>0</v>
      </c>
      <c r="G202" s="28">
        <v>12</v>
      </c>
      <c r="H202" s="28" t="str">
        <f>IF(COUNTIFS('Question-Article-Match'!$A:$A,A202,'Question-Article-Match'!$C:$C,C202,'Question-Article-Match'!$F:$F,"direct match")&gt;0,"direct match",IF(COUNTIFS('Question-Article-Match'!$A:$A,A202,'Question-Article-Match'!$C:$C,C202,'Question-Article-Match'!$F:$F,"indirect match")&gt;0,"indirect match","no match"))</f>
        <v>no match</v>
      </c>
    </row>
    <row r="203" spans="1:8">
      <c r="A203" s="28" t="s">
        <v>144</v>
      </c>
      <c r="B203" s="28" t="s">
        <v>145</v>
      </c>
      <c r="C203" s="28">
        <v>10</v>
      </c>
      <c r="D203" s="28" t="s">
        <v>32</v>
      </c>
      <c r="E203" s="28" t="s">
        <v>33</v>
      </c>
      <c r="F203" s="28">
        <v>0</v>
      </c>
      <c r="G203" s="28">
        <v>13</v>
      </c>
      <c r="H203" s="28" t="str">
        <f>IF(COUNTIFS('Question-Article-Match'!$A:$A,A203,'Question-Article-Match'!$C:$C,C203,'Question-Article-Match'!$F:$F,"direct match")&gt;0,"direct match",IF(COUNTIFS('Question-Article-Match'!$A:$A,A203,'Question-Article-Match'!$C:$C,C203,'Question-Article-Match'!$F:$F,"indirect match")&gt;0,"indirect match","no match"))</f>
        <v>no match</v>
      </c>
    </row>
    <row r="204" spans="1:8">
      <c r="A204" s="28" t="s">
        <v>144</v>
      </c>
      <c r="B204" s="28" t="s">
        <v>145</v>
      </c>
      <c r="C204" s="28">
        <v>21</v>
      </c>
      <c r="D204" s="28" t="s">
        <v>46</v>
      </c>
      <c r="E204" s="28" t="s">
        <v>47</v>
      </c>
      <c r="F204" s="28">
        <v>0</v>
      </c>
      <c r="G204" s="28">
        <v>14</v>
      </c>
      <c r="H204" s="28" t="str">
        <f>IF(COUNTIFS('Question-Article-Match'!$A:$A,A204,'Question-Article-Match'!$C:$C,C204,'Question-Article-Match'!$F:$F,"direct match")&gt;0,"direct match",IF(COUNTIFS('Question-Article-Match'!$A:$A,A204,'Question-Article-Match'!$C:$C,C204,'Question-Article-Match'!$F:$F,"indirect match")&gt;0,"indirect match","no match"))</f>
        <v>no match</v>
      </c>
    </row>
    <row r="205" spans="1:8">
      <c r="A205" s="28" t="s">
        <v>144</v>
      </c>
      <c r="B205" s="28" t="s">
        <v>145</v>
      </c>
      <c r="C205" s="28">
        <v>8</v>
      </c>
      <c r="D205" s="28" t="s">
        <v>40</v>
      </c>
      <c r="E205" s="28" t="s">
        <v>41</v>
      </c>
      <c r="F205" s="28">
        <v>0</v>
      </c>
      <c r="G205" s="28">
        <v>15</v>
      </c>
      <c r="H205" s="28" t="str">
        <f>IF(COUNTIFS('Question-Article-Match'!$A:$A,A205,'Question-Article-Match'!$C:$C,C205,'Question-Article-Match'!$F:$F,"direct match")&gt;0,"direct match",IF(COUNTIFS('Question-Article-Match'!$A:$A,A205,'Question-Article-Match'!$C:$C,C205,'Question-Article-Match'!$F:$F,"indirect match")&gt;0,"indirect match","no match"))</f>
        <v>no match</v>
      </c>
    </row>
    <row r="206" spans="1:8">
      <c r="A206" s="28" t="s">
        <v>144</v>
      </c>
      <c r="B206" s="28" t="s">
        <v>145</v>
      </c>
      <c r="C206" s="28">
        <v>1</v>
      </c>
      <c r="D206" s="28" t="s">
        <v>22</v>
      </c>
      <c r="E206" s="28" t="s">
        <v>23</v>
      </c>
      <c r="F206" s="28">
        <v>0</v>
      </c>
      <c r="G206" s="28">
        <v>16</v>
      </c>
      <c r="H206" s="28" t="str">
        <f>IF(COUNTIFS('Question-Article-Match'!$A:$A,A206,'Question-Article-Match'!$C:$C,C206,'Question-Article-Match'!$F:$F,"direct match")&gt;0,"direct match",IF(COUNTIFS('Question-Article-Match'!$A:$A,A206,'Question-Article-Match'!$C:$C,C206,'Question-Article-Match'!$F:$F,"indirect match")&gt;0,"indirect match","no match"))</f>
        <v>no match</v>
      </c>
    </row>
    <row r="207" spans="1:8">
      <c r="A207" s="28" t="s">
        <v>144</v>
      </c>
      <c r="B207" s="28" t="s">
        <v>145</v>
      </c>
      <c r="C207" s="28">
        <v>2</v>
      </c>
      <c r="D207" s="28" t="s">
        <v>18</v>
      </c>
      <c r="E207" s="28" t="s">
        <v>19</v>
      </c>
      <c r="F207" s="28">
        <v>0</v>
      </c>
      <c r="G207" s="28">
        <v>17</v>
      </c>
      <c r="H207" s="28" t="str">
        <f>IF(COUNTIFS('Question-Article-Match'!$A:$A,A207,'Question-Article-Match'!$C:$C,C207,'Question-Article-Match'!$F:$F,"direct match")&gt;0,"direct match",IF(COUNTIFS('Question-Article-Match'!$A:$A,A207,'Question-Article-Match'!$C:$C,C207,'Question-Article-Match'!$F:$F,"indirect match")&gt;0,"indirect match","no match"))</f>
        <v>no match</v>
      </c>
    </row>
    <row r="208" spans="1:8">
      <c r="A208" s="28" t="s">
        <v>144</v>
      </c>
      <c r="B208" s="28" t="s">
        <v>145</v>
      </c>
      <c r="C208" s="28">
        <v>18</v>
      </c>
      <c r="D208" s="28" t="s">
        <v>24</v>
      </c>
      <c r="E208" s="28" t="s">
        <v>25</v>
      </c>
      <c r="F208" s="28">
        <v>0</v>
      </c>
      <c r="G208" s="28">
        <v>18</v>
      </c>
      <c r="H208" s="28" t="str">
        <f>IF(COUNTIFS('Question-Article-Match'!$A:$A,A208,'Question-Article-Match'!$C:$C,C208,'Question-Article-Match'!$F:$F,"direct match")&gt;0,"direct match",IF(COUNTIFS('Question-Article-Match'!$A:$A,A208,'Question-Article-Match'!$C:$C,C208,'Question-Article-Match'!$F:$F,"indirect match")&gt;0,"indirect match","no match"))</f>
        <v>no match</v>
      </c>
    </row>
    <row r="209" spans="1:8">
      <c r="A209" s="28" t="s">
        <v>144</v>
      </c>
      <c r="B209" s="28" t="s">
        <v>145</v>
      </c>
      <c r="C209" s="28">
        <v>4</v>
      </c>
      <c r="D209" s="28" t="s">
        <v>64</v>
      </c>
      <c r="E209" s="28" t="s">
        <v>65</v>
      </c>
      <c r="F209" s="28">
        <v>0</v>
      </c>
      <c r="G209" s="28">
        <v>19</v>
      </c>
      <c r="H209" s="28" t="str">
        <f>IF(COUNTIFS('Question-Article-Match'!$A:$A,A209,'Question-Article-Match'!$C:$C,C209,'Question-Article-Match'!$F:$F,"direct match")&gt;0,"direct match",IF(COUNTIFS('Question-Article-Match'!$A:$A,A209,'Question-Article-Match'!$C:$C,C209,'Question-Article-Match'!$F:$F,"indirect match")&gt;0,"indirect match","no match"))</f>
        <v>no match</v>
      </c>
    </row>
    <row r="210" spans="1:8">
      <c r="A210" s="28" t="s">
        <v>144</v>
      </c>
      <c r="B210" s="28" t="s">
        <v>145</v>
      </c>
      <c r="C210" s="28">
        <v>6</v>
      </c>
      <c r="D210" s="28" t="s">
        <v>28</v>
      </c>
      <c r="E210" s="28" t="s">
        <v>29</v>
      </c>
      <c r="F210" s="28">
        <v>0</v>
      </c>
      <c r="G210" s="28">
        <v>20</v>
      </c>
      <c r="H210" s="28" t="str">
        <f>IF(COUNTIFS('Question-Article-Match'!$A:$A,A210,'Question-Article-Match'!$C:$C,C210,'Question-Article-Match'!$F:$F,"direct match")&gt;0,"direct match",IF(COUNTIFS('Question-Article-Match'!$A:$A,A210,'Question-Article-Match'!$C:$C,C210,'Question-Article-Match'!$F:$F,"indirect match")&gt;0,"indirect match","no match"))</f>
        <v>no match</v>
      </c>
    </row>
    <row r="211" spans="1:8">
      <c r="A211" s="28" t="s">
        <v>144</v>
      </c>
      <c r="B211" s="28" t="s">
        <v>145</v>
      </c>
      <c r="C211" s="28">
        <v>15</v>
      </c>
      <c r="D211" s="28" t="s">
        <v>42</v>
      </c>
      <c r="E211" s="28" t="s">
        <v>43</v>
      </c>
      <c r="F211" s="28">
        <v>0</v>
      </c>
      <c r="G211" s="28">
        <v>21</v>
      </c>
      <c r="H211" s="28" t="str">
        <f>IF(COUNTIFS('Question-Article-Match'!$A:$A,A211,'Question-Article-Match'!$C:$C,C211,'Question-Article-Match'!$F:$F,"direct match")&gt;0,"direct match",IF(COUNTIFS('Question-Article-Match'!$A:$A,A211,'Question-Article-Match'!$C:$C,C211,'Question-Article-Match'!$F:$F,"indirect match")&gt;0,"indirect match","no match"))</f>
        <v>no match</v>
      </c>
    </row>
    <row r="212" spans="1:8">
      <c r="A212" s="28" t="s">
        <v>147</v>
      </c>
      <c r="B212" s="28" t="s">
        <v>148</v>
      </c>
      <c r="C212" s="28">
        <v>16</v>
      </c>
      <c r="D212" s="28" t="s">
        <v>12</v>
      </c>
      <c r="E212" s="28" t="s">
        <v>13</v>
      </c>
      <c r="F212" s="28">
        <v>0.2</v>
      </c>
      <c r="G212" s="28">
        <v>1</v>
      </c>
      <c r="H212" s="28" t="str">
        <f>IF(COUNTIFS('Question-Article-Match'!$A:$A,A212,'Question-Article-Match'!$C:$C,C212,'Question-Article-Match'!$F:$F,"direct match")&gt;0,"direct match",IF(COUNTIFS('Question-Article-Match'!$A:$A,A212,'Question-Article-Match'!$C:$C,C212,'Question-Article-Match'!$F:$F,"indirect match")&gt;0,"indirect match","no match"))</f>
        <v>no match</v>
      </c>
    </row>
    <row r="213" spans="1:8">
      <c r="A213" s="28" t="s">
        <v>147</v>
      </c>
      <c r="B213" s="28" t="s">
        <v>148</v>
      </c>
      <c r="C213" s="28">
        <v>3</v>
      </c>
      <c r="D213" s="28" t="s">
        <v>26</v>
      </c>
      <c r="E213" s="28" t="s">
        <v>27</v>
      </c>
      <c r="F213" s="28">
        <v>0.2</v>
      </c>
      <c r="G213" s="28">
        <v>2</v>
      </c>
      <c r="H213" s="28" t="str">
        <f>IF(COUNTIFS('Question-Article-Match'!$A:$A,A213,'Question-Article-Match'!$C:$C,C213,'Question-Article-Match'!$F:$F,"direct match")&gt;0,"direct match",IF(COUNTIFS('Question-Article-Match'!$A:$A,A213,'Question-Article-Match'!$C:$C,C213,'Question-Article-Match'!$F:$F,"indirect match")&gt;0,"indirect match","no match"))</f>
        <v>no match</v>
      </c>
    </row>
    <row r="214" spans="1:8">
      <c r="A214" s="28" t="s">
        <v>147</v>
      </c>
      <c r="B214" s="28" t="s">
        <v>148</v>
      </c>
      <c r="C214" s="28">
        <v>14</v>
      </c>
      <c r="D214" s="28" t="s">
        <v>16</v>
      </c>
      <c r="E214" s="28" t="s">
        <v>17</v>
      </c>
      <c r="F214" s="28">
        <v>0.1</v>
      </c>
      <c r="G214" s="28">
        <v>3</v>
      </c>
      <c r="H214" s="28" t="str">
        <f>IF(COUNTIFS('Question-Article-Match'!$A:$A,A214,'Question-Article-Match'!$C:$C,C214,'Question-Article-Match'!$F:$F,"direct match")&gt;0,"direct match",IF(COUNTIFS('Question-Article-Match'!$A:$A,A214,'Question-Article-Match'!$C:$C,C214,'Question-Article-Match'!$F:$F,"indirect match")&gt;0,"indirect match","no match"))</f>
        <v>no match</v>
      </c>
    </row>
    <row r="215" spans="1:8">
      <c r="A215" s="28" t="s">
        <v>147</v>
      </c>
      <c r="B215" s="28" t="s">
        <v>148</v>
      </c>
      <c r="C215" s="28">
        <v>19</v>
      </c>
      <c r="D215" s="28" t="s">
        <v>14</v>
      </c>
      <c r="E215" s="28" t="s">
        <v>15</v>
      </c>
      <c r="F215" s="28">
        <v>0.1</v>
      </c>
      <c r="G215" s="28">
        <v>4</v>
      </c>
      <c r="H215" s="28" t="str">
        <f>IF(COUNTIFS('Question-Article-Match'!$A:$A,A215,'Question-Article-Match'!$C:$C,C215,'Question-Article-Match'!$F:$F,"direct match")&gt;0,"direct match",IF(COUNTIFS('Question-Article-Match'!$A:$A,A215,'Question-Article-Match'!$C:$C,C215,'Question-Article-Match'!$F:$F,"indirect match")&gt;0,"indirect match","no match"))</f>
        <v>no match</v>
      </c>
    </row>
    <row r="216" spans="1:8">
      <c r="A216" s="28" t="s">
        <v>147</v>
      </c>
      <c r="B216" s="28" t="s">
        <v>148</v>
      </c>
      <c r="C216" s="28">
        <v>11</v>
      </c>
      <c r="D216" s="28" t="s">
        <v>89</v>
      </c>
      <c r="E216" s="28" t="s">
        <v>90</v>
      </c>
      <c r="F216" s="28">
        <v>0</v>
      </c>
      <c r="G216" s="28">
        <v>5</v>
      </c>
      <c r="H216" s="28" t="str">
        <f>IF(COUNTIFS('Question-Article-Match'!$A:$A,A216,'Question-Article-Match'!$C:$C,C216,'Question-Article-Match'!$F:$F,"direct match")&gt;0,"direct match",IF(COUNTIFS('Question-Article-Match'!$A:$A,A216,'Question-Article-Match'!$C:$C,C216,'Question-Article-Match'!$F:$F,"indirect match")&gt;0,"indirect match","no match"))</f>
        <v>no match</v>
      </c>
    </row>
    <row r="217" spans="1:8">
      <c r="A217" s="28" t="s">
        <v>147</v>
      </c>
      <c r="B217" s="28" t="s">
        <v>148</v>
      </c>
      <c r="C217" s="28">
        <v>17</v>
      </c>
      <c r="D217" s="28" t="s">
        <v>108</v>
      </c>
      <c r="E217" s="28" t="s">
        <v>109</v>
      </c>
      <c r="F217" s="28">
        <v>0</v>
      </c>
      <c r="G217" s="28">
        <v>6</v>
      </c>
      <c r="H217" s="28" t="str">
        <f>IF(COUNTIFS('Question-Article-Match'!$A:$A,A217,'Question-Article-Match'!$C:$C,C217,'Question-Article-Match'!$F:$F,"direct match")&gt;0,"direct match",IF(COUNTIFS('Question-Article-Match'!$A:$A,A217,'Question-Article-Match'!$C:$C,C217,'Question-Article-Match'!$F:$F,"indirect match")&gt;0,"indirect match","no match"))</f>
        <v>no match</v>
      </c>
    </row>
    <row r="218" spans="1:8">
      <c r="A218" s="28" t="s">
        <v>147</v>
      </c>
      <c r="B218" s="28" t="s">
        <v>148</v>
      </c>
      <c r="C218" s="28">
        <v>20</v>
      </c>
      <c r="D218" s="28" t="s">
        <v>113</v>
      </c>
      <c r="E218" s="28" t="s">
        <v>114</v>
      </c>
      <c r="F218" s="28">
        <v>0</v>
      </c>
      <c r="G218" s="28">
        <v>7</v>
      </c>
      <c r="H218" s="28" t="str">
        <f>IF(COUNTIFS('Question-Article-Match'!$A:$A,A218,'Question-Article-Match'!$C:$C,C218,'Question-Article-Match'!$F:$F,"direct match")&gt;0,"direct match",IF(COUNTIFS('Question-Article-Match'!$A:$A,A218,'Question-Article-Match'!$C:$C,C218,'Question-Article-Match'!$F:$F,"indirect match")&gt;0,"indirect match","no match"))</f>
        <v>no match</v>
      </c>
    </row>
    <row r="219" spans="1:8">
      <c r="A219" s="28" t="s">
        <v>147</v>
      </c>
      <c r="B219" s="28" t="s">
        <v>148</v>
      </c>
      <c r="C219" s="28">
        <v>7</v>
      </c>
      <c r="D219" s="28" t="s">
        <v>75</v>
      </c>
      <c r="E219" s="28" t="s">
        <v>76</v>
      </c>
      <c r="F219" s="28">
        <v>0</v>
      </c>
      <c r="G219" s="28">
        <v>8</v>
      </c>
      <c r="H219" s="28" t="str">
        <f>IF(COUNTIFS('Question-Article-Match'!$A:$A,A219,'Question-Article-Match'!$C:$C,C219,'Question-Article-Match'!$F:$F,"direct match")&gt;0,"direct match",IF(COUNTIFS('Question-Article-Match'!$A:$A,A219,'Question-Article-Match'!$C:$C,C219,'Question-Article-Match'!$F:$F,"indirect match")&gt;0,"indirect match","no match"))</f>
        <v>no match</v>
      </c>
    </row>
    <row r="220" spans="1:8">
      <c r="A220" s="28" t="s">
        <v>147</v>
      </c>
      <c r="B220" s="28" t="s">
        <v>148</v>
      </c>
      <c r="C220" s="28">
        <v>9</v>
      </c>
      <c r="D220" s="28" t="s">
        <v>10</v>
      </c>
      <c r="E220" s="28" t="s">
        <v>11</v>
      </c>
      <c r="F220" s="28">
        <v>0</v>
      </c>
      <c r="G220" s="28">
        <v>9</v>
      </c>
      <c r="H220" s="28" t="str">
        <f>IF(COUNTIFS('Question-Article-Match'!$A:$A,A220,'Question-Article-Match'!$C:$C,C220,'Question-Article-Match'!$F:$F,"direct match")&gt;0,"direct match",IF(COUNTIFS('Question-Article-Match'!$A:$A,A220,'Question-Article-Match'!$C:$C,C220,'Question-Article-Match'!$F:$F,"indirect match")&gt;0,"indirect match","no match"))</f>
        <v>no match</v>
      </c>
    </row>
    <row r="221" spans="1:8">
      <c r="A221" s="28" t="s">
        <v>147</v>
      </c>
      <c r="B221" s="28" t="s">
        <v>148</v>
      </c>
      <c r="C221" s="28">
        <v>13</v>
      </c>
      <c r="D221" s="28" t="s">
        <v>34</v>
      </c>
      <c r="E221" s="28" t="s">
        <v>35</v>
      </c>
      <c r="F221" s="28">
        <v>0</v>
      </c>
      <c r="G221" s="28">
        <v>10</v>
      </c>
      <c r="H221" s="28" t="str">
        <f>IF(COUNTIFS('Question-Article-Match'!$A:$A,A221,'Question-Article-Match'!$C:$C,C221,'Question-Article-Match'!$F:$F,"direct match")&gt;0,"direct match",IF(COUNTIFS('Question-Article-Match'!$A:$A,A221,'Question-Article-Match'!$C:$C,C221,'Question-Article-Match'!$F:$F,"indirect match")&gt;0,"indirect match","no match"))</f>
        <v>no match</v>
      </c>
    </row>
    <row r="222" spans="1:8">
      <c r="A222" s="28" t="s">
        <v>147</v>
      </c>
      <c r="B222" s="28" t="s">
        <v>148</v>
      </c>
      <c r="C222" s="28">
        <v>12</v>
      </c>
      <c r="D222" s="28" t="s">
        <v>20</v>
      </c>
      <c r="E222" s="28" t="s">
        <v>21</v>
      </c>
      <c r="F222" s="28">
        <v>0</v>
      </c>
      <c r="G222" s="28">
        <v>11</v>
      </c>
      <c r="H222" s="28" t="str">
        <f>IF(COUNTIFS('Question-Article-Match'!$A:$A,A222,'Question-Article-Match'!$C:$C,C222,'Question-Article-Match'!$F:$F,"direct match")&gt;0,"direct match",IF(COUNTIFS('Question-Article-Match'!$A:$A,A222,'Question-Article-Match'!$C:$C,C222,'Question-Article-Match'!$F:$F,"indirect match")&gt;0,"indirect match","no match"))</f>
        <v>no match</v>
      </c>
    </row>
    <row r="223" spans="1:8">
      <c r="A223" s="28" t="s">
        <v>147</v>
      </c>
      <c r="B223" s="28" t="s">
        <v>148</v>
      </c>
      <c r="C223" s="28">
        <v>5</v>
      </c>
      <c r="D223" s="28" t="s">
        <v>36</v>
      </c>
      <c r="E223" s="28" t="s">
        <v>37</v>
      </c>
      <c r="F223" s="28">
        <v>0</v>
      </c>
      <c r="G223" s="28">
        <v>12</v>
      </c>
      <c r="H223" s="28" t="str">
        <f>IF(COUNTIFS('Question-Article-Match'!$A:$A,A223,'Question-Article-Match'!$C:$C,C223,'Question-Article-Match'!$F:$F,"direct match")&gt;0,"direct match",IF(COUNTIFS('Question-Article-Match'!$A:$A,A223,'Question-Article-Match'!$C:$C,C223,'Question-Article-Match'!$F:$F,"indirect match")&gt;0,"indirect match","no match"))</f>
        <v>no match</v>
      </c>
    </row>
    <row r="224" spans="1:8">
      <c r="A224" s="28" t="s">
        <v>147</v>
      </c>
      <c r="B224" s="28" t="s">
        <v>148</v>
      </c>
      <c r="C224" s="28">
        <v>10</v>
      </c>
      <c r="D224" s="28" t="s">
        <v>32</v>
      </c>
      <c r="E224" s="28" t="s">
        <v>33</v>
      </c>
      <c r="F224" s="28">
        <v>0</v>
      </c>
      <c r="G224" s="28">
        <v>13</v>
      </c>
      <c r="H224" s="28" t="str">
        <f>IF(COUNTIFS('Question-Article-Match'!$A:$A,A224,'Question-Article-Match'!$C:$C,C224,'Question-Article-Match'!$F:$F,"direct match")&gt;0,"direct match",IF(COUNTIFS('Question-Article-Match'!$A:$A,A224,'Question-Article-Match'!$C:$C,C224,'Question-Article-Match'!$F:$F,"indirect match")&gt;0,"indirect match","no match"))</f>
        <v>no match</v>
      </c>
    </row>
    <row r="225" spans="1:8">
      <c r="A225" s="28" t="s">
        <v>147</v>
      </c>
      <c r="B225" s="28" t="s">
        <v>148</v>
      </c>
      <c r="C225" s="28">
        <v>21</v>
      </c>
      <c r="D225" s="28" t="s">
        <v>46</v>
      </c>
      <c r="E225" s="28" t="s">
        <v>47</v>
      </c>
      <c r="F225" s="28">
        <v>0</v>
      </c>
      <c r="G225" s="28">
        <v>14</v>
      </c>
      <c r="H225" s="28" t="str">
        <f>IF(COUNTIFS('Question-Article-Match'!$A:$A,A225,'Question-Article-Match'!$C:$C,C225,'Question-Article-Match'!$F:$F,"direct match")&gt;0,"direct match",IF(COUNTIFS('Question-Article-Match'!$A:$A,A225,'Question-Article-Match'!$C:$C,C225,'Question-Article-Match'!$F:$F,"indirect match")&gt;0,"indirect match","no match"))</f>
        <v>no match</v>
      </c>
    </row>
    <row r="226" spans="1:8">
      <c r="A226" s="28" t="s">
        <v>147</v>
      </c>
      <c r="B226" s="28" t="s">
        <v>148</v>
      </c>
      <c r="C226" s="28">
        <v>8</v>
      </c>
      <c r="D226" s="28" t="s">
        <v>40</v>
      </c>
      <c r="E226" s="28" t="s">
        <v>41</v>
      </c>
      <c r="F226" s="28">
        <v>0</v>
      </c>
      <c r="G226" s="28">
        <v>15</v>
      </c>
      <c r="H226" s="28" t="str">
        <f>IF(COUNTIFS('Question-Article-Match'!$A:$A,A226,'Question-Article-Match'!$C:$C,C226,'Question-Article-Match'!$F:$F,"direct match")&gt;0,"direct match",IF(COUNTIFS('Question-Article-Match'!$A:$A,A226,'Question-Article-Match'!$C:$C,C226,'Question-Article-Match'!$F:$F,"indirect match")&gt;0,"indirect match","no match"))</f>
        <v>no match</v>
      </c>
    </row>
    <row r="227" spans="1:8">
      <c r="A227" s="28" t="s">
        <v>147</v>
      </c>
      <c r="B227" s="28" t="s">
        <v>148</v>
      </c>
      <c r="C227" s="28">
        <v>1</v>
      </c>
      <c r="D227" s="28" t="s">
        <v>22</v>
      </c>
      <c r="E227" s="28" t="s">
        <v>23</v>
      </c>
      <c r="F227" s="28">
        <v>0</v>
      </c>
      <c r="G227" s="28">
        <v>16</v>
      </c>
      <c r="H227" s="28" t="str">
        <f>IF(COUNTIFS('Question-Article-Match'!$A:$A,A227,'Question-Article-Match'!$C:$C,C227,'Question-Article-Match'!$F:$F,"direct match")&gt;0,"direct match",IF(COUNTIFS('Question-Article-Match'!$A:$A,A227,'Question-Article-Match'!$C:$C,C227,'Question-Article-Match'!$F:$F,"indirect match")&gt;0,"indirect match","no match"))</f>
        <v>no match</v>
      </c>
    </row>
    <row r="228" spans="1:8">
      <c r="A228" s="28" t="s">
        <v>147</v>
      </c>
      <c r="B228" s="28" t="s">
        <v>148</v>
      </c>
      <c r="C228" s="28">
        <v>2</v>
      </c>
      <c r="D228" s="28" t="s">
        <v>18</v>
      </c>
      <c r="E228" s="28" t="s">
        <v>19</v>
      </c>
      <c r="F228" s="28">
        <v>0</v>
      </c>
      <c r="G228" s="28">
        <v>17</v>
      </c>
      <c r="H228" s="28" t="str">
        <f>IF(COUNTIFS('Question-Article-Match'!$A:$A,A228,'Question-Article-Match'!$C:$C,C228,'Question-Article-Match'!$F:$F,"direct match")&gt;0,"direct match",IF(COUNTIFS('Question-Article-Match'!$A:$A,A228,'Question-Article-Match'!$C:$C,C228,'Question-Article-Match'!$F:$F,"indirect match")&gt;0,"indirect match","no match"))</f>
        <v>no match</v>
      </c>
    </row>
    <row r="229" spans="1:8">
      <c r="A229" s="28" t="s">
        <v>147</v>
      </c>
      <c r="B229" s="28" t="s">
        <v>148</v>
      </c>
      <c r="C229" s="28">
        <v>18</v>
      </c>
      <c r="D229" s="28" t="s">
        <v>24</v>
      </c>
      <c r="E229" s="28" t="s">
        <v>25</v>
      </c>
      <c r="F229" s="28">
        <v>0</v>
      </c>
      <c r="G229" s="28">
        <v>18</v>
      </c>
      <c r="H229" s="28" t="str">
        <f>IF(COUNTIFS('Question-Article-Match'!$A:$A,A229,'Question-Article-Match'!$C:$C,C229,'Question-Article-Match'!$F:$F,"direct match")&gt;0,"direct match",IF(COUNTIFS('Question-Article-Match'!$A:$A,A229,'Question-Article-Match'!$C:$C,C229,'Question-Article-Match'!$F:$F,"indirect match")&gt;0,"indirect match","no match"))</f>
        <v>no match</v>
      </c>
    </row>
    <row r="230" spans="1:8">
      <c r="A230" s="28" t="s">
        <v>147</v>
      </c>
      <c r="B230" s="28" t="s">
        <v>148</v>
      </c>
      <c r="C230" s="28">
        <v>4</v>
      </c>
      <c r="D230" s="28" t="s">
        <v>64</v>
      </c>
      <c r="E230" s="28" t="s">
        <v>65</v>
      </c>
      <c r="F230" s="28">
        <v>0</v>
      </c>
      <c r="G230" s="28">
        <v>19</v>
      </c>
      <c r="H230" s="28" t="str">
        <f>IF(COUNTIFS('Question-Article-Match'!$A:$A,A230,'Question-Article-Match'!$C:$C,C230,'Question-Article-Match'!$F:$F,"direct match")&gt;0,"direct match",IF(COUNTIFS('Question-Article-Match'!$A:$A,A230,'Question-Article-Match'!$C:$C,C230,'Question-Article-Match'!$F:$F,"indirect match")&gt;0,"indirect match","no match"))</f>
        <v>no match</v>
      </c>
    </row>
    <row r="231" spans="1:8">
      <c r="A231" s="28" t="s">
        <v>147</v>
      </c>
      <c r="B231" s="28" t="s">
        <v>148</v>
      </c>
      <c r="C231" s="28">
        <v>6</v>
      </c>
      <c r="D231" s="28" t="s">
        <v>28</v>
      </c>
      <c r="E231" s="28" t="s">
        <v>29</v>
      </c>
      <c r="F231" s="28">
        <v>0</v>
      </c>
      <c r="G231" s="28">
        <v>20</v>
      </c>
      <c r="H231" s="28" t="str">
        <f>IF(COUNTIFS('Question-Article-Match'!$A:$A,A231,'Question-Article-Match'!$C:$C,C231,'Question-Article-Match'!$F:$F,"direct match")&gt;0,"direct match",IF(COUNTIFS('Question-Article-Match'!$A:$A,A231,'Question-Article-Match'!$C:$C,C231,'Question-Article-Match'!$F:$F,"indirect match")&gt;0,"indirect match","no match"))</f>
        <v>no match</v>
      </c>
    </row>
    <row r="232" spans="1:8">
      <c r="A232" s="28" t="s">
        <v>147</v>
      </c>
      <c r="B232" s="28" t="s">
        <v>148</v>
      </c>
      <c r="C232" s="28">
        <v>15</v>
      </c>
      <c r="D232" s="28" t="s">
        <v>42</v>
      </c>
      <c r="E232" s="28" t="s">
        <v>43</v>
      </c>
      <c r="F232" s="28">
        <v>0</v>
      </c>
      <c r="G232" s="28">
        <v>21</v>
      </c>
      <c r="H232" s="28" t="str">
        <f>IF(COUNTIFS('Question-Article-Match'!$A:$A,A232,'Question-Article-Match'!$C:$C,C232,'Question-Article-Match'!$F:$F,"direct match")&gt;0,"direct match",IF(COUNTIFS('Question-Article-Match'!$A:$A,A232,'Question-Article-Match'!$C:$C,C232,'Question-Article-Match'!$F:$F,"indirect match")&gt;0,"indirect match","no match"))</f>
        <v>no match</v>
      </c>
    </row>
    <row r="233" spans="1:8">
      <c r="A233" s="28" t="s">
        <v>150</v>
      </c>
      <c r="B233" s="28" t="s">
        <v>151</v>
      </c>
      <c r="C233" s="28">
        <v>16</v>
      </c>
      <c r="D233" s="28" t="s">
        <v>12</v>
      </c>
      <c r="E233" s="28" t="s">
        <v>13</v>
      </c>
      <c r="F233" s="28">
        <v>0.3</v>
      </c>
      <c r="G233" s="28">
        <v>1</v>
      </c>
      <c r="H233" s="28" t="str">
        <f>IF(COUNTIFS('Question-Article-Match'!$A:$A,A233,'Question-Article-Match'!$C:$C,C233,'Question-Article-Match'!$F:$F,"direct match")&gt;0,"direct match",IF(COUNTIFS('Question-Article-Match'!$A:$A,A233,'Question-Article-Match'!$C:$C,C233,'Question-Article-Match'!$F:$F,"indirect match")&gt;0,"indirect match","no match"))</f>
        <v>no match</v>
      </c>
    </row>
    <row r="234" spans="1:8">
      <c r="A234" s="28" t="s">
        <v>150</v>
      </c>
      <c r="B234" s="28" t="s">
        <v>151</v>
      </c>
      <c r="C234" s="28">
        <v>3</v>
      </c>
      <c r="D234" s="28" t="s">
        <v>26</v>
      </c>
      <c r="E234" s="28" t="s">
        <v>27</v>
      </c>
      <c r="F234" s="28">
        <v>0.2</v>
      </c>
      <c r="G234" s="28">
        <v>2</v>
      </c>
      <c r="H234" s="28" t="str">
        <f>IF(COUNTIFS('Question-Article-Match'!$A:$A,A234,'Question-Article-Match'!$C:$C,C234,'Question-Article-Match'!$F:$F,"direct match")&gt;0,"direct match",IF(COUNTIFS('Question-Article-Match'!$A:$A,A234,'Question-Article-Match'!$C:$C,C234,'Question-Article-Match'!$F:$F,"indirect match")&gt;0,"indirect match","no match"))</f>
        <v>no match</v>
      </c>
    </row>
    <row r="235" spans="1:8">
      <c r="A235" s="28" t="s">
        <v>150</v>
      </c>
      <c r="B235" s="28" t="s">
        <v>151</v>
      </c>
      <c r="C235" s="28">
        <v>11</v>
      </c>
      <c r="D235" s="28" t="s">
        <v>89</v>
      </c>
      <c r="E235" s="28" t="s">
        <v>90</v>
      </c>
      <c r="F235" s="28">
        <v>0.1</v>
      </c>
      <c r="G235" s="28">
        <v>3</v>
      </c>
      <c r="H235" s="28" t="str">
        <f>IF(COUNTIFS('Question-Article-Match'!$A:$A,A235,'Question-Article-Match'!$C:$C,C235,'Question-Article-Match'!$F:$F,"direct match")&gt;0,"direct match",IF(COUNTIFS('Question-Article-Match'!$A:$A,A235,'Question-Article-Match'!$C:$C,C235,'Question-Article-Match'!$F:$F,"indirect match")&gt;0,"indirect match","no match"))</f>
        <v>no match</v>
      </c>
    </row>
    <row r="236" spans="1:8">
      <c r="A236" s="28" t="s">
        <v>150</v>
      </c>
      <c r="B236" s="28" t="s">
        <v>151</v>
      </c>
      <c r="C236" s="28">
        <v>12</v>
      </c>
      <c r="D236" s="28" t="s">
        <v>20</v>
      </c>
      <c r="E236" s="28" t="s">
        <v>21</v>
      </c>
      <c r="F236" s="28">
        <v>0.1</v>
      </c>
      <c r="G236" s="28">
        <v>4</v>
      </c>
      <c r="H236" s="28" t="str">
        <f>IF(COUNTIFS('Question-Article-Match'!$A:$A,A236,'Question-Article-Match'!$C:$C,C236,'Question-Article-Match'!$F:$F,"direct match")&gt;0,"direct match",IF(COUNTIFS('Question-Article-Match'!$A:$A,A236,'Question-Article-Match'!$C:$C,C236,'Question-Article-Match'!$F:$F,"indirect match")&gt;0,"indirect match","no match"))</f>
        <v>no match</v>
      </c>
    </row>
    <row r="237" spans="1:8">
      <c r="A237" s="28" t="s">
        <v>150</v>
      </c>
      <c r="B237" s="28" t="s">
        <v>151</v>
      </c>
      <c r="C237" s="28">
        <v>10</v>
      </c>
      <c r="D237" s="28" t="s">
        <v>32</v>
      </c>
      <c r="E237" s="28" t="s">
        <v>33</v>
      </c>
      <c r="F237" s="28">
        <v>0.1</v>
      </c>
      <c r="G237" s="28">
        <v>5</v>
      </c>
      <c r="H237" s="28" t="str">
        <f>IF(COUNTIFS('Question-Article-Match'!$A:$A,A237,'Question-Article-Match'!$C:$C,C237,'Question-Article-Match'!$F:$F,"direct match")&gt;0,"direct match",IF(COUNTIFS('Question-Article-Match'!$A:$A,A237,'Question-Article-Match'!$C:$C,C237,'Question-Article-Match'!$F:$F,"indirect match")&gt;0,"indirect match","no match"))</f>
        <v>no match</v>
      </c>
    </row>
    <row r="238" spans="1:8">
      <c r="A238" s="28" t="s">
        <v>150</v>
      </c>
      <c r="B238" s="28" t="s">
        <v>151</v>
      </c>
      <c r="C238" s="28">
        <v>14</v>
      </c>
      <c r="D238" s="28" t="s">
        <v>16</v>
      </c>
      <c r="E238" s="28" t="s">
        <v>17</v>
      </c>
      <c r="F238" s="28">
        <v>0.1</v>
      </c>
      <c r="G238" s="28">
        <v>6</v>
      </c>
      <c r="H238" s="28" t="str">
        <f>IF(COUNTIFS('Question-Article-Match'!$A:$A,A238,'Question-Article-Match'!$C:$C,C238,'Question-Article-Match'!$F:$F,"direct match")&gt;0,"direct match",IF(COUNTIFS('Question-Article-Match'!$A:$A,A238,'Question-Article-Match'!$C:$C,C238,'Question-Article-Match'!$F:$F,"indirect match")&gt;0,"indirect match","no match"))</f>
        <v>no match</v>
      </c>
    </row>
    <row r="239" spans="1:8">
      <c r="A239" s="28" t="s">
        <v>150</v>
      </c>
      <c r="B239" s="28" t="s">
        <v>151</v>
      </c>
      <c r="C239" s="28">
        <v>19</v>
      </c>
      <c r="D239" s="28" t="s">
        <v>14</v>
      </c>
      <c r="E239" s="28" t="s">
        <v>15</v>
      </c>
      <c r="F239" s="28">
        <v>0.1</v>
      </c>
      <c r="G239" s="28">
        <v>7</v>
      </c>
      <c r="H239" s="28" t="str">
        <f>IF(COUNTIFS('Question-Article-Match'!$A:$A,A239,'Question-Article-Match'!$C:$C,C239,'Question-Article-Match'!$F:$F,"direct match")&gt;0,"direct match",IF(COUNTIFS('Question-Article-Match'!$A:$A,A239,'Question-Article-Match'!$C:$C,C239,'Question-Article-Match'!$F:$F,"indirect match")&gt;0,"indirect match","no match"))</f>
        <v>no match</v>
      </c>
    </row>
    <row r="240" spans="1:8">
      <c r="A240" s="28" t="s">
        <v>150</v>
      </c>
      <c r="B240" s="28" t="s">
        <v>151</v>
      </c>
      <c r="C240" s="28">
        <v>17</v>
      </c>
      <c r="D240" s="28" t="s">
        <v>108</v>
      </c>
      <c r="E240" s="28" t="s">
        <v>109</v>
      </c>
      <c r="F240" s="28">
        <v>0</v>
      </c>
      <c r="G240" s="28">
        <v>8</v>
      </c>
      <c r="H240" s="28" t="str">
        <f>IF(COUNTIFS('Question-Article-Match'!$A:$A,A240,'Question-Article-Match'!$C:$C,C240,'Question-Article-Match'!$F:$F,"direct match")&gt;0,"direct match",IF(COUNTIFS('Question-Article-Match'!$A:$A,A240,'Question-Article-Match'!$C:$C,C240,'Question-Article-Match'!$F:$F,"indirect match")&gt;0,"indirect match","no match"))</f>
        <v>no match</v>
      </c>
    </row>
    <row r="241" spans="1:8">
      <c r="A241" s="28" t="s">
        <v>150</v>
      </c>
      <c r="B241" s="28" t="s">
        <v>151</v>
      </c>
      <c r="C241" s="28">
        <v>20</v>
      </c>
      <c r="D241" s="28" t="s">
        <v>113</v>
      </c>
      <c r="E241" s="28" t="s">
        <v>114</v>
      </c>
      <c r="F241" s="28">
        <v>0</v>
      </c>
      <c r="G241" s="28">
        <v>9</v>
      </c>
      <c r="H241" s="28" t="str">
        <f>IF(COUNTIFS('Question-Article-Match'!$A:$A,A241,'Question-Article-Match'!$C:$C,C241,'Question-Article-Match'!$F:$F,"direct match")&gt;0,"direct match",IF(COUNTIFS('Question-Article-Match'!$A:$A,A241,'Question-Article-Match'!$C:$C,C241,'Question-Article-Match'!$F:$F,"indirect match")&gt;0,"indirect match","no match"))</f>
        <v>no match</v>
      </c>
    </row>
    <row r="242" spans="1:8">
      <c r="A242" s="28" t="s">
        <v>150</v>
      </c>
      <c r="B242" s="28" t="s">
        <v>151</v>
      </c>
      <c r="C242" s="28">
        <v>7</v>
      </c>
      <c r="D242" s="28" t="s">
        <v>75</v>
      </c>
      <c r="E242" s="28" t="s">
        <v>76</v>
      </c>
      <c r="F242" s="28">
        <v>0</v>
      </c>
      <c r="G242" s="28">
        <v>10</v>
      </c>
      <c r="H242" s="28" t="str">
        <f>IF(COUNTIFS('Question-Article-Match'!$A:$A,A242,'Question-Article-Match'!$C:$C,C242,'Question-Article-Match'!$F:$F,"direct match")&gt;0,"direct match",IF(COUNTIFS('Question-Article-Match'!$A:$A,A242,'Question-Article-Match'!$C:$C,C242,'Question-Article-Match'!$F:$F,"indirect match")&gt;0,"indirect match","no match"))</f>
        <v>no match</v>
      </c>
    </row>
    <row r="243" spans="1:8">
      <c r="A243" s="28" t="s">
        <v>150</v>
      </c>
      <c r="B243" s="28" t="s">
        <v>151</v>
      </c>
      <c r="C243" s="28">
        <v>9</v>
      </c>
      <c r="D243" s="28" t="s">
        <v>10</v>
      </c>
      <c r="E243" s="28" t="s">
        <v>11</v>
      </c>
      <c r="F243" s="28">
        <v>0</v>
      </c>
      <c r="G243" s="28">
        <v>11</v>
      </c>
      <c r="H243" s="28" t="str">
        <f>IF(COUNTIFS('Question-Article-Match'!$A:$A,A243,'Question-Article-Match'!$C:$C,C243,'Question-Article-Match'!$F:$F,"direct match")&gt;0,"direct match",IF(COUNTIFS('Question-Article-Match'!$A:$A,A243,'Question-Article-Match'!$C:$C,C243,'Question-Article-Match'!$F:$F,"indirect match")&gt;0,"indirect match","no match"))</f>
        <v>no match</v>
      </c>
    </row>
    <row r="244" spans="1:8">
      <c r="A244" s="28" t="s">
        <v>150</v>
      </c>
      <c r="B244" s="28" t="s">
        <v>151</v>
      </c>
      <c r="C244" s="28">
        <v>13</v>
      </c>
      <c r="D244" s="28" t="s">
        <v>34</v>
      </c>
      <c r="E244" s="28" t="s">
        <v>35</v>
      </c>
      <c r="F244" s="28">
        <v>0</v>
      </c>
      <c r="G244" s="28">
        <v>12</v>
      </c>
      <c r="H244" s="28" t="str">
        <f>IF(COUNTIFS('Question-Article-Match'!$A:$A,A244,'Question-Article-Match'!$C:$C,C244,'Question-Article-Match'!$F:$F,"direct match")&gt;0,"direct match",IF(COUNTIFS('Question-Article-Match'!$A:$A,A244,'Question-Article-Match'!$C:$C,C244,'Question-Article-Match'!$F:$F,"indirect match")&gt;0,"indirect match","no match"))</f>
        <v>no match</v>
      </c>
    </row>
    <row r="245" spans="1:8">
      <c r="A245" s="28" t="s">
        <v>150</v>
      </c>
      <c r="B245" s="28" t="s">
        <v>151</v>
      </c>
      <c r="C245" s="28">
        <v>5</v>
      </c>
      <c r="D245" s="28" t="s">
        <v>36</v>
      </c>
      <c r="E245" s="28" t="s">
        <v>37</v>
      </c>
      <c r="F245" s="28">
        <v>0</v>
      </c>
      <c r="G245" s="28">
        <v>13</v>
      </c>
      <c r="H245" s="28" t="str">
        <f>IF(COUNTIFS('Question-Article-Match'!$A:$A,A245,'Question-Article-Match'!$C:$C,C245,'Question-Article-Match'!$F:$F,"direct match")&gt;0,"direct match",IF(COUNTIFS('Question-Article-Match'!$A:$A,A245,'Question-Article-Match'!$C:$C,C245,'Question-Article-Match'!$F:$F,"indirect match")&gt;0,"indirect match","no match"))</f>
        <v>no match</v>
      </c>
    </row>
    <row r="246" spans="1:8">
      <c r="A246" s="28" t="s">
        <v>150</v>
      </c>
      <c r="B246" s="28" t="s">
        <v>151</v>
      </c>
      <c r="C246" s="28">
        <v>21</v>
      </c>
      <c r="D246" s="28" t="s">
        <v>46</v>
      </c>
      <c r="E246" s="28" t="s">
        <v>47</v>
      </c>
      <c r="F246" s="28">
        <v>0</v>
      </c>
      <c r="G246" s="28">
        <v>14</v>
      </c>
      <c r="H246" s="28" t="str">
        <f>IF(COUNTIFS('Question-Article-Match'!$A:$A,A246,'Question-Article-Match'!$C:$C,C246,'Question-Article-Match'!$F:$F,"direct match")&gt;0,"direct match",IF(COUNTIFS('Question-Article-Match'!$A:$A,A246,'Question-Article-Match'!$C:$C,C246,'Question-Article-Match'!$F:$F,"indirect match")&gt;0,"indirect match","no match"))</f>
        <v>no match</v>
      </c>
    </row>
    <row r="247" spans="1:8">
      <c r="A247" s="28" t="s">
        <v>150</v>
      </c>
      <c r="B247" s="28" t="s">
        <v>151</v>
      </c>
      <c r="C247" s="28">
        <v>8</v>
      </c>
      <c r="D247" s="28" t="s">
        <v>40</v>
      </c>
      <c r="E247" s="28" t="s">
        <v>41</v>
      </c>
      <c r="F247" s="28">
        <v>0</v>
      </c>
      <c r="G247" s="28">
        <v>15</v>
      </c>
      <c r="H247" s="28" t="str">
        <f>IF(COUNTIFS('Question-Article-Match'!$A:$A,A247,'Question-Article-Match'!$C:$C,C247,'Question-Article-Match'!$F:$F,"direct match")&gt;0,"direct match",IF(COUNTIFS('Question-Article-Match'!$A:$A,A247,'Question-Article-Match'!$C:$C,C247,'Question-Article-Match'!$F:$F,"indirect match")&gt;0,"indirect match","no match"))</f>
        <v>no match</v>
      </c>
    </row>
    <row r="248" spans="1:8">
      <c r="A248" s="28" t="s">
        <v>150</v>
      </c>
      <c r="B248" s="28" t="s">
        <v>151</v>
      </c>
      <c r="C248" s="28">
        <v>1</v>
      </c>
      <c r="D248" s="28" t="s">
        <v>22</v>
      </c>
      <c r="E248" s="28" t="s">
        <v>23</v>
      </c>
      <c r="F248" s="28">
        <v>0</v>
      </c>
      <c r="G248" s="28">
        <v>16</v>
      </c>
      <c r="H248" s="28" t="str">
        <f>IF(COUNTIFS('Question-Article-Match'!$A:$A,A248,'Question-Article-Match'!$C:$C,C248,'Question-Article-Match'!$F:$F,"direct match")&gt;0,"direct match",IF(COUNTIFS('Question-Article-Match'!$A:$A,A248,'Question-Article-Match'!$C:$C,C248,'Question-Article-Match'!$F:$F,"indirect match")&gt;0,"indirect match","no match"))</f>
        <v>no match</v>
      </c>
    </row>
    <row r="249" spans="1:8">
      <c r="A249" s="28" t="s">
        <v>150</v>
      </c>
      <c r="B249" s="28" t="s">
        <v>151</v>
      </c>
      <c r="C249" s="28">
        <v>2</v>
      </c>
      <c r="D249" s="28" t="s">
        <v>18</v>
      </c>
      <c r="E249" s="28" t="s">
        <v>19</v>
      </c>
      <c r="F249" s="28">
        <v>0</v>
      </c>
      <c r="G249" s="28">
        <v>17</v>
      </c>
      <c r="H249" s="28" t="str">
        <f>IF(COUNTIFS('Question-Article-Match'!$A:$A,A249,'Question-Article-Match'!$C:$C,C249,'Question-Article-Match'!$F:$F,"direct match")&gt;0,"direct match",IF(COUNTIFS('Question-Article-Match'!$A:$A,A249,'Question-Article-Match'!$C:$C,C249,'Question-Article-Match'!$F:$F,"indirect match")&gt;0,"indirect match","no match"))</f>
        <v>no match</v>
      </c>
    </row>
    <row r="250" spans="1:8">
      <c r="A250" s="28" t="s">
        <v>150</v>
      </c>
      <c r="B250" s="28" t="s">
        <v>151</v>
      </c>
      <c r="C250" s="28">
        <v>18</v>
      </c>
      <c r="D250" s="28" t="s">
        <v>24</v>
      </c>
      <c r="E250" s="28" t="s">
        <v>25</v>
      </c>
      <c r="F250" s="28">
        <v>0</v>
      </c>
      <c r="G250" s="28">
        <v>18</v>
      </c>
      <c r="H250" s="28" t="str">
        <f>IF(COUNTIFS('Question-Article-Match'!$A:$A,A250,'Question-Article-Match'!$C:$C,C250,'Question-Article-Match'!$F:$F,"direct match")&gt;0,"direct match",IF(COUNTIFS('Question-Article-Match'!$A:$A,A250,'Question-Article-Match'!$C:$C,C250,'Question-Article-Match'!$F:$F,"indirect match")&gt;0,"indirect match","no match"))</f>
        <v>no match</v>
      </c>
    </row>
    <row r="251" spans="1:8">
      <c r="A251" s="28" t="s">
        <v>150</v>
      </c>
      <c r="B251" s="28" t="s">
        <v>151</v>
      </c>
      <c r="C251" s="28">
        <v>4</v>
      </c>
      <c r="D251" s="28" t="s">
        <v>64</v>
      </c>
      <c r="E251" s="28" t="s">
        <v>65</v>
      </c>
      <c r="F251" s="28">
        <v>0</v>
      </c>
      <c r="G251" s="28">
        <v>19</v>
      </c>
      <c r="H251" s="28" t="str">
        <f>IF(COUNTIFS('Question-Article-Match'!$A:$A,A251,'Question-Article-Match'!$C:$C,C251,'Question-Article-Match'!$F:$F,"direct match")&gt;0,"direct match",IF(COUNTIFS('Question-Article-Match'!$A:$A,A251,'Question-Article-Match'!$C:$C,C251,'Question-Article-Match'!$F:$F,"indirect match")&gt;0,"indirect match","no match"))</f>
        <v>no match</v>
      </c>
    </row>
    <row r="252" spans="1:8">
      <c r="A252" s="28" t="s">
        <v>150</v>
      </c>
      <c r="B252" s="28" t="s">
        <v>151</v>
      </c>
      <c r="C252" s="28">
        <v>6</v>
      </c>
      <c r="D252" s="28" t="s">
        <v>28</v>
      </c>
      <c r="E252" s="28" t="s">
        <v>29</v>
      </c>
      <c r="F252" s="28">
        <v>0</v>
      </c>
      <c r="G252" s="28">
        <v>20</v>
      </c>
      <c r="H252" s="28" t="str">
        <f>IF(COUNTIFS('Question-Article-Match'!$A:$A,A252,'Question-Article-Match'!$C:$C,C252,'Question-Article-Match'!$F:$F,"direct match")&gt;0,"direct match",IF(COUNTIFS('Question-Article-Match'!$A:$A,A252,'Question-Article-Match'!$C:$C,C252,'Question-Article-Match'!$F:$F,"indirect match")&gt;0,"indirect match","no match"))</f>
        <v>no match</v>
      </c>
    </row>
    <row r="253" spans="1:8">
      <c r="A253" s="28" t="s">
        <v>150</v>
      </c>
      <c r="B253" s="28" t="s">
        <v>151</v>
      </c>
      <c r="C253" s="28">
        <v>15</v>
      </c>
      <c r="D253" s="28" t="s">
        <v>42</v>
      </c>
      <c r="E253" s="28" t="s">
        <v>43</v>
      </c>
      <c r="F253" s="28">
        <v>0</v>
      </c>
      <c r="G253" s="28">
        <v>21</v>
      </c>
      <c r="H253" s="28" t="str">
        <f>IF(COUNTIFS('Question-Article-Match'!$A:$A,A253,'Question-Article-Match'!$C:$C,C253,'Question-Article-Match'!$F:$F,"direct match")&gt;0,"direct match",IF(COUNTIFS('Question-Article-Match'!$A:$A,A253,'Question-Article-Match'!$C:$C,C253,'Question-Article-Match'!$F:$F,"indirect match")&gt;0,"indirect match","no match"))</f>
        <v>no match</v>
      </c>
    </row>
    <row r="254" spans="1:8">
      <c r="A254" s="28" t="s">
        <v>8</v>
      </c>
      <c r="B254" s="28" t="s">
        <v>9</v>
      </c>
      <c r="C254" s="28">
        <v>9</v>
      </c>
      <c r="D254" s="28" t="s">
        <v>10</v>
      </c>
      <c r="E254" s="28" t="s">
        <v>11</v>
      </c>
      <c r="F254" s="28">
        <v>0.4</v>
      </c>
      <c r="G254" s="28">
        <v>1</v>
      </c>
      <c r="H254" s="28" t="str">
        <f>IF(COUNTIFS('Question-Article-Match'!$A:$A,A254,'Question-Article-Match'!$C:$C,C254,'Question-Article-Match'!$F:$F,"direct match")&gt;0,"direct match",IF(COUNTIFS('Question-Article-Match'!$A:$A,A254,'Question-Article-Match'!$C:$C,C254,'Question-Article-Match'!$F:$F,"indirect match")&gt;0,"indirect match","no match"))</f>
        <v>direct match</v>
      </c>
    </row>
    <row r="255" spans="1:8">
      <c r="A255" s="28" t="s">
        <v>8</v>
      </c>
      <c r="B255" s="28" t="s">
        <v>9</v>
      </c>
      <c r="C255" s="28">
        <v>14</v>
      </c>
      <c r="D255" s="28" t="s">
        <v>16</v>
      </c>
      <c r="E255" s="28" t="s">
        <v>17</v>
      </c>
      <c r="F255" s="28">
        <v>0.2</v>
      </c>
      <c r="G255" s="28">
        <v>2</v>
      </c>
      <c r="H255" s="28" t="str">
        <f>IF(COUNTIFS('Question-Article-Match'!$A:$A,A255,'Question-Article-Match'!$C:$C,C255,'Question-Article-Match'!$F:$F,"direct match")&gt;0,"direct match",IF(COUNTIFS('Question-Article-Match'!$A:$A,A255,'Question-Article-Match'!$C:$C,C255,'Question-Article-Match'!$F:$F,"indirect match")&gt;0,"indirect match","no match"))</f>
        <v>no match</v>
      </c>
    </row>
    <row r="256" spans="1:8">
      <c r="A256" s="28" t="s">
        <v>8</v>
      </c>
      <c r="B256" s="28" t="s">
        <v>9</v>
      </c>
      <c r="C256" s="28">
        <v>16</v>
      </c>
      <c r="D256" s="28" t="s">
        <v>12</v>
      </c>
      <c r="E256" s="28" t="s">
        <v>13</v>
      </c>
      <c r="F256" s="28">
        <v>0.2</v>
      </c>
      <c r="G256" s="28">
        <v>3</v>
      </c>
      <c r="H256" s="28" t="str">
        <f>IF(COUNTIFS('Question-Article-Match'!$A:$A,A256,'Question-Article-Match'!$C:$C,C256,'Question-Article-Match'!$F:$F,"direct match")&gt;0,"direct match",IF(COUNTIFS('Question-Article-Match'!$A:$A,A256,'Question-Article-Match'!$C:$C,C256,'Question-Article-Match'!$F:$F,"indirect match")&gt;0,"indirect match","no match"))</f>
        <v>no match</v>
      </c>
    </row>
    <row r="257" spans="1:8">
      <c r="A257" s="28" t="s">
        <v>8</v>
      </c>
      <c r="B257" s="28" t="s">
        <v>9</v>
      </c>
      <c r="C257" s="28">
        <v>3</v>
      </c>
      <c r="D257" s="28" t="s">
        <v>26</v>
      </c>
      <c r="E257" s="28" t="s">
        <v>27</v>
      </c>
      <c r="F257" s="28">
        <v>0.2</v>
      </c>
      <c r="G257" s="28">
        <v>4</v>
      </c>
      <c r="H257" s="28" t="str">
        <f>IF(COUNTIFS('Question-Article-Match'!$A:$A,A257,'Question-Article-Match'!$C:$C,C257,'Question-Article-Match'!$F:$F,"direct match")&gt;0,"direct match",IF(COUNTIFS('Question-Article-Match'!$A:$A,A257,'Question-Article-Match'!$C:$C,C257,'Question-Article-Match'!$F:$F,"indirect match")&gt;0,"indirect match","no match"))</f>
        <v>no match</v>
      </c>
    </row>
    <row r="258" spans="1:8">
      <c r="A258" s="28" t="s">
        <v>8</v>
      </c>
      <c r="B258" s="28" t="s">
        <v>9</v>
      </c>
      <c r="C258" s="28">
        <v>11</v>
      </c>
      <c r="D258" s="28" t="s">
        <v>89</v>
      </c>
      <c r="E258" s="28" t="s">
        <v>90</v>
      </c>
      <c r="F258" s="28">
        <v>0.1</v>
      </c>
      <c r="G258" s="28">
        <v>5</v>
      </c>
      <c r="H258" s="28" t="str">
        <f>IF(COUNTIFS('Question-Article-Match'!$A:$A,A258,'Question-Article-Match'!$C:$C,C258,'Question-Article-Match'!$F:$F,"direct match")&gt;0,"direct match",IF(COUNTIFS('Question-Article-Match'!$A:$A,A258,'Question-Article-Match'!$C:$C,C258,'Question-Article-Match'!$F:$F,"indirect match")&gt;0,"indirect match","no match"))</f>
        <v>no match</v>
      </c>
    </row>
    <row r="259" spans="1:8">
      <c r="A259" s="28" t="s">
        <v>8</v>
      </c>
      <c r="B259" s="28" t="s">
        <v>9</v>
      </c>
      <c r="C259" s="28">
        <v>13</v>
      </c>
      <c r="D259" s="28" t="s">
        <v>34</v>
      </c>
      <c r="E259" s="28" t="s">
        <v>35</v>
      </c>
      <c r="F259" s="28">
        <v>0.1</v>
      </c>
      <c r="G259" s="28">
        <v>6</v>
      </c>
      <c r="H259" s="28" t="str">
        <f>IF(COUNTIFS('Question-Article-Match'!$A:$A,A259,'Question-Article-Match'!$C:$C,C259,'Question-Article-Match'!$F:$F,"direct match")&gt;0,"direct match",IF(COUNTIFS('Question-Article-Match'!$A:$A,A259,'Question-Article-Match'!$C:$C,C259,'Question-Article-Match'!$F:$F,"indirect match")&gt;0,"indirect match","no match"))</f>
        <v>no match</v>
      </c>
    </row>
    <row r="260" spans="1:8">
      <c r="A260" s="28" t="s">
        <v>8</v>
      </c>
      <c r="B260" s="28" t="s">
        <v>9</v>
      </c>
      <c r="C260" s="28">
        <v>5</v>
      </c>
      <c r="D260" s="28" t="s">
        <v>36</v>
      </c>
      <c r="E260" s="28" t="s">
        <v>37</v>
      </c>
      <c r="F260" s="28">
        <v>0.1</v>
      </c>
      <c r="G260" s="28">
        <v>7</v>
      </c>
      <c r="H260" s="28" t="str">
        <f>IF(COUNTIFS('Question-Article-Match'!$A:$A,A260,'Question-Article-Match'!$C:$C,C260,'Question-Article-Match'!$F:$F,"direct match")&gt;0,"direct match",IF(COUNTIFS('Question-Article-Match'!$A:$A,A260,'Question-Article-Match'!$C:$C,C260,'Question-Article-Match'!$F:$F,"indirect match")&gt;0,"indirect match","no match"))</f>
        <v>no match</v>
      </c>
    </row>
    <row r="261" spans="1:8">
      <c r="A261" s="28" t="s">
        <v>8</v>
      </c>
      <c r="B261" s="28" t="s">
        <v>9</v>
      </c>
      <c r="C261" s="28">
        <v>1</v>
      </c>
      <c r="D261" s="28" t="s">
        <v>22</v>
      </c>
      <c r="E261" s="28" t="s">
        <v>23</v>
      </c>
      <c r="F261" s="28">
        <v>0.1</v>
      </c>
      <c r="G261" s="28">
        <v>8</v>
      </c>
      <c r="H261" s="28" t="str">
        <f>IF(COUNTIFS('Question-Article-Match'!$A:$A,A261,'Question-Article-Match'!$C:$C,C261,'Question-Article-Match'!$F:$F,"direct match")&gt;0,"direct match",IF(COUNTIFS('Question-Article-Match'!$A:$A,A261,'Question-Article-Match'!$C:$C,C261,'Question-Article-Match'!$F:$F,"indirect match")&gt;0,"indirect match","no match"))</f>
        <v>no match</v>
      </c>
    </row>
    <row r="262" spans="1:8">
      <c r="A262" s="28" t="s">
        <v>8</v>
      </c>
      <c r="B262" s="28" t="s">
        <v>9</v>
      </c>
      <c r="C262" s="28">
        <v>18</v>
      </c>
      <c r="D262" s="28" t="s">
        <v>24</v>
      </c>
      <c r="E262" s="28" t="s">
        <v>25</v>
      </c>
      <c r="F262" s="28">
        <v>0.1</v>
      </c>
      <c r="G262" s="28">
        <v>9</v>
      </c>
      <c r="H262" s="28" t="str">
        <f>IF(COUNTIFS('Question-Article-Match'!$A:$A,A262,'Question-Article-Match'!$C:$C,C262,'Question-Article-Match'!$F:$F,"direct match")&gt;0,"direct match",IF(COUNTIFS('Question-Article-Match'!$A:$A,A262,'Question-Article-Match'!$C:$C,C262,'Question-Article-Match'!$F:$F,"indirect match")&gt;0,"indirect match","no match"))</f>
        <v>no match</v>
      </c>
    </row>
    <row r="263" spans="1:8">
      <c r="A263" s="28" t="s">
        <v>8</v>
      </c>
      <c r="B263" s="28" t="s">
        <v>9</v>
      </c>
      <c r="C263" s="28">
        <v>6</v>
      </c>
      <c r="D263" s="28" t="s">
        <v>28</v>
      </c>
      <c r="E263" s="28" t="s">
        <v>29</v>
      </c>
      <c r="F263" s="28">
        <v>0.1</v>
      </c>
      <c r="G263" s="28">
        <v>10</v>
      </c>
      <c r="H263" s="28" t="str">
        <f>IF(COUNTIFS('Question-Article-Match'!$A:$A,A263,'Question-Article-Match'!$C:$C,C263,'Question-Article-Match'!$F:$F,"direct match")&gt;0,"direct match",IF(COUNTIFS('Question-Article-Match'!$A:$A,A263,'Question-Article-Match'!$C:$C,C263,'Question-Article-Match'!$F:$F,"indirect match")&gt;0,"indirect match","no match"))</f>
        <v>no match</v>
      </c>
    </row>
    <row r="264" spans="1:8">
      <c r="A264" s="28" t="s">
        <v>8</v>
      </c>
      <c r="B264" s="28" t="s">
        <v>9</v>
      </c>
      <c r="C264" s="28">
        <v>19</v>
      </c>
      <c r="D264" s="28" t="s">
        <v>14</v>
      </c>
      <c r="E264" s="28" t="s">
        <v>15</v>
      </c>
      <c r="F264" s="28">
        <v>0.1</v>
      </c>
      <c r="G264" s="28">
        <v>11</v>
      </c>
      <c r="H264" s="28" t="str">
        <f>IF(COUNTIFS('Question-Article-Match'!$A:$A,A264,'Question-Article-Match'!$C:$C,C264,'Question-Article-Match'!$F:$F,"direct match")&gt;0,"direct match",IF(COUNTIFS('Question-Article-Match'!$A:$A,A264,'Question-Article-Match'!$C:$C,C264,'Question-Article-Match'!$F:$F,"indirect match")&gt;0,"indirect match","no match"))</f>
        <v>no match</v>
      </c>
    </row>
    <row r="265" spans="1:8">
      <c r="A265" s="28" t="s">
        <v>8</v>
      </c>
      <c r="B265" s="28" t="s">
        <v>9</v>
      </c>
      <c r="C265" s="28">
        <v>17</v>
      </c>
      <c r="D265" s="28" t="s">
        <v>108</v>
      </c>
      <c r="E265" s="28" t="s">
        <v>109</v>
      </c>
      <c r="F265" s="28">
        <v>0</v>
      </c>
      <c r="G265" s="28">
        <v>12</v>
      </c>
      <c r="H265" s="28" t="str">
        <f>IF(COUNTIFS('Question-Article-Match'!$A:$A,A265,'Question-Article-Match'!$C:$C,C265,'Question-Article-Match'!$F:$F,"direct match")&gt;0,"direct match",IF(COUNTIFS('Question-Article-Match'!$A:$A,A265,'Question-Article-Match'!$C:$C,C265,'Question-Article-Match'!$F:$F,"indirect match")&gt;0,"indirect match","no match"))</f>
        <v>no match</v>
      </c>
    </row>
    <row r="266" spans="1:8">
      <c r="A266" s="28" t="s">
        <v>8</v>
      </c>
      <c r="B266" s="28" t="s">
        <v>9</v>
      </c>
      <c r="C266" s="28">
        <v>20</v>
      </c>
      <c r="D266" s="28" t="s">
        <v>113</v>
      </c>
      <c r="E266" s="28" t="s">
        <v>114</v>
      </c>
      <c r="F266" s="28">
        <v>0</v>
      </c>
      <c r="G266" s="28">
        <v>13</v>
      </c>
      <c r="H266" s="28" t="str">
        <f>IF(COUNTIFS('Question-Article-Match'!$A:$A,A266,'Question-Article-Match'!$C:$C,C266,'Question-Article-Match'!$F:$F,"direct match")&gt;0,"direct match",IF(COUNTIFS('Question-Article-Match'!$A:$A,A266,'Question-Article-Match'!$C:$C,C266,'Question-Article-Match'!$F:$F,"indirect match")&gt;0,"indirect match","no match"))</f>
        <v>no match</v>
      </c>
    </row>
    <row r="267" spans="1:8">
      <c r="A267" s="28" t="s">
        <v>8</v>
      </c>
      <c r="B267" s="28" t="s">
        <v>9</v>
      </c>
      <c r="C267" s="28">
        <v>7</v>
      </c>
      <c r="D267" s="28" t="s">
        <v>75</v>
      </c>
      <c r="E267" s="28" t="s">
        <v>76</v>
      </c>
      <c r="F267" s="28">
        <v>0</v>
      </c>
      <c r="G267" s="28">
        <v>14</v>
      </c>
      <c r="H267" s="28" t="str">
        <f>IF(COUNTIFS('Question-Article-Match'!$A:$A,A267,'Question-Article-Match'!$C:$C,C267,'Question-Article-Match'!$F:$F,"direct match")&gt;0,"direct match",IF(COUNTIFS('Question-Article-Match'!$A:$A,A267,'Question-Article-Match'!$C:$C,C267,'Question-Article-Match'!$F:$F,"indirect match")&gt;0,"indirect match","no match"))</f>
        <v>no match</v>
      </c>
    </row>
    <row r="268" spans="1:8">
      <c r="A268" s="28" t="s">
        <v>8</v>
      </c>
      <c r="B268" s="28" t="s">
        <v>9</v>
      </c>
      <c r="C268" s="28">
        <v>12</v>
      </c>
      <c r="D268" s="28" t="s">
        <v>20</v>
      </c>
      <c r="E268" s="28" t="s">
        <v>21</v>
      </c>
      <c r="F268" s="28">
        <v>0</v>
      </c>
      <c r="G268" s="28">
        <v>15</v>
      </c>
      <c r="H268" s="28" t="str">
        <f>IF(COUNTIFS('Question-Article-Match'!$A:$A,A268,'Question-Article-Match'!$C:$C,C268,'Question-Article-Match'!$F:$F,"direct match")&gt;0,"direct match",IF(COUNTIFS('Question-Article-Match'!$A:$A,A268,'Question-Article-Match'!$C:$C,C268,'Question-Article-Match'!$F:$F,"indirect match")&gt;0,"indirect match","no match"))</f>
        <v>no match</v>
      </c>
    </row>
    <row r="269" spans="1:8">
      <c r="A269" s="28" t="s">
        <v>8</v>
      </c>
      <c r="B269" s="28" t="s">
        <v>9</v>
      </c>
      <c r="C269" s="28">
        <v>10</v>
      </c>
      <c r="D269" s="28" t="s">
        <v>32</v>
      </c>
      <c r="E269" s="28" t="s">
        <v>33</v>
      </c>
      <c r="F269" s="28">
        <v>0</v>
      </c>
      <c r="G269" s="28">
        <v>16</v>
      </c>
      <c r="H269" s="28" t="str">
        <f>IF(COUNTIFS('Question-Article-Match'!$A:$A,A269,'Question-Article-Match'!$C:$C,C269,'Question-Article-Match'!$F:$F,"direct match")&gt;0,"direct match",IF(COUNTIFS('Question-Article-Match'!$A:$A,A269,'Question-Article-Match'!$C:$C,C269,'Question-Article-Match'!$F:$F,"indirect match")&gt;0,"indirect match","no match"))</f>
        <v>no match</v>
      </c>
    </row>
    <row r="270" spans="1:8">
      <c r="A270" s="28" t="s">
        <v>8</v>
      </c>
      <c r="B270" s="28" t="s">
        <v>9</v>
      </c>
      <c r="C270" s="28">
        <v>21</v>
      </c>
      <c r="D270" s="28" t="s">
        <v>46</v>
      </c>
      <c r="E270" s="28" t="s">
        <v>47</v>
      </c>
      <c r="F270" s="28">
        <v>0</v>
      </c>
      <c r="G270" s="28">
        <v>17</v>
      </c>
      <c r="H270" s="28" t="str">
        <f>IF(COUNTIFS('Question-Article-Match'!$A:$A,A270,'Question-Article-Match'!$C:$C,C270,'Question-Article-Match'!$F:$F,"direct match")&gt;0,"direct match",IF(COUNTIFS('Question-Article-Match'!$A:$A,A270,'Question-Article-Match'!$C:$C,C270,'Question-Article-Match'!$F:$F,"indirect match")&gt;0,"indirect match","no match"))</f>
        <v>no match</v>
      </c>
    </row>
    <row r="271" spans="1:8">
      <c r="A271" s="28" t="s">
        <v>8</v>
      </c>
      <c r="B271" s="28" t="s">
        <v>9</v>
      </c>
      <c r="C271" s="28">
        <v>8</v>
      </c>
      <c r="D271" s="28" t="s">
        <v>40</v>
      </c>
      <c r="E271" s="28" t="s">
        <v>41</v>
      </c>
      <c r="F271" s="28">
        <v>0</v>
      </c>
      <c r="G271" s="28">
        <v>18</v>
      </c>
      <c r="H271" s="28" t="str">
        <f>IF(COUNTIFS('Question-Article-Match'!$A:$A,A271,'Question-Article-Match'!$C:$C,C271,'Question-Article-Match'!$F:$F,"direct match")&gt;0,"direct match",IF(COUNTIFS('Question-Article-Match'!$A:$A,A271,'Question-Article-Match'!$C:$C,C271,'Question-Article-Match'!$F:$F,"indirect match")&gt;0,"indirect match","no match"))</f>
        <v>no match</v>
      </c>
    </row>
    <row r="272" spans="1:8">
      <c r="A272" s="28" t="s">
        <v>8</v>
      </c>
      <c r="B272" s="28" t="s">
        <v>9</v>
      </c>
      <c r="C272" s="28">
        <v>2</v>
      </c>
      <c r="D272" s="28" t="s">
        <v>18</v>
      </c>
      <c r="E272" s="28" t="s">
        <v>19</v>
      </c>
      <c r="F272" s="28">
        <v>0</v>
      </c>
      <c r="G272" s="28">
        <v>19</v>
      </c>
      <c r="H272" s="28" t="str">
        <f>IF(COUNTIFS('Question-Article-Match'!$A:$A,A272,'Question-Article-Match'!$C:$C,C272,'Question-Article-Match'!$F:$F,"direct match")&gt;0,"direct match",IF(COUNTIFS('Question-Article-Match'!$A:$A,A272,'Question-Article-Match'!$C:$C,C272,'Question-Article-Match'!$F:$F,"indirect match")&gt;0,"indirect match","no match"))</f>
        <v>no match</v>
      </c>
    </row>
    <row r="273" spans="1:8">
      <c r="A273" s="28" t="s">
        <v>8</v>
      </c>
      <c r="B273" s="28" t="s">
        <v>9</v>
      </c>
      <c r="C273" s="28">
        <v>4</v>
      </c>
      <c r="D273" s="28" t="s">
        <v>64</v>
      </c>
      <c r="E273" s="28" t="s">
        <v>65</v>
      </c>
      <c r="F273" s="28">
        <v>0</v>
      </c>
      <c r="G273" s="28">
        <v>20</v>
      </c>
      <c r="H273" s="28" t="str">
        <f>IF(COUNTIFS('Question-Article-Match'!$A:$A,A273,'Question-Article-Match'!$C:$C,C273,'Question-Article-Match'!$F:$F,"direct match")&gt;0,"direct match",IF(COUNTIFS('Question-Article-Match'!$A:$A,A273,'Question-Article-Match'!$C:$C,C273,'Question-Article-Match'!$F:$F,"indirect match")&gt;0,"indirect match","no match"))</f>
        <v>no match</v>
      </c>
    </row>
    <row r="274" spans="1:8">
      <c r="A274" s="28" t="s">
        <v>8</v>
      </c>
      <c r="B274" s="28" t="s">
        <v>9</v>
      </c>
      <c r="C274" s="28">
        <v>15</v>
      </c>
      <c r="D274" s="28" t="s">
        <v>42</v>
      </c>
      <c r="E274" s="28" t="s">
        <v>43</v>
      </c>
      <c r="F274" s="28">
        <v>0</v>
      </c>
      <c r="G274" s="28">
        <v>21</v>
      </c>
      <c r="H274" s="28" t="str">
        <f>IF(COUNTIFS('Question-Article-Match'!$A:$A,A274,'Question-Article-Match'!$C:$C,C274,'Question-Article-Match'!$F:$F,"direct match")&gt;0,"direct match",IF(COUNTIFS('Question-Article-Match'!$A:$A,A274,'Question-Article-Match'!$C:$C,C274,'Question-Article-Match'!$F:$F,"indirect match")&gt;0,"indirect match","no match"))</f>
        <v>no match</v>
      </c>
    </row>
    <row r="275" spans="1:8">
      <c r="A275" s="28" t="s">
        <v>30</v>
      </c>
      <c r="B275" s="28" t="s">
        <v>31</v>
      </c>
      <c r="C275" s="28">
        <v>16</v>
      </c>
      <c r="D275" s="28" t="s">
        <v>12</v>
      </c>
      <c r="E275" s="28" t="s">
        <v>13</v>
      </c>
      <c r="F275" s="28">
        <v>1.2</v>
      </c>
      <c r="G275" s="28">
        <v>1</v>
      </c>
      <c r="H275" s="28" t="str">
        <f>IF(COUNTIFS('Question-Article-Match'!$A:$A,A275,'Question-Article-Match'!$C:$C,C275,'Question-Article-Match'!$F:$F,"direct match")&gt;0,"direct match",IF(COUNTIFS('Question-Article-Match'!$A:$A,A275,'Question-Article-Match'!$C:$C,C275,'Question-Article-Match'!$F:$F,"indirect match")&gt;0,"indirect match","no match"))</f>
        <v>direct match</v>
      </c>
    </row>
    <row r="276" spans="1:8">
      <c r="A276" s="28" t="s">
        <v>30</v>
      </c>
      <c r="B276" s="28" t="s">
        <v>31</v>
      </c>
      <c r="C276" s="28">
        <v>3</v>
      </c>
      <c r="D276" s="28" t="s">
        <v>26</v>
      </c>
      <c r="E276" s="28" t="s">
        <v>27</v>
      </c>
      <c r="F276" s="28">
        <v>0.2</v>
      </c>
      <c r="G276" s="28">
        <v>2</v>
      </c>
      <c r="H276" s="28" t="str">
        <f>IF(COUNTIFS('Question-Article-Match'!$A:$A,A276,'Question-Article-Match'!$C:$C,C276,'Question-Article-Match'!$F:$F,"direct match")&gt;0,"direct match",IF(COUNTIFS('Question-Article-Match'!$A:$A,A276,'Question-Article-Match'!$C:$C,C276,'Question-Article-Match'!$F:$F,"indirect match")&gt;0,"indirect match","no match"))</f>
        <v>no match</v>
      </c>
    </row>
    <row r="277" spans="1:8">
      <c r="A277" s="28" t="s">
        <v>30</v>
      </c>
      <c r="B277" s="28" t="s">
        <v>31</v>
      </c>
      <c r="C277" s="28">
        <v>14</v>
      </c>
      <c r="D277" s="28" t="s">
        <v>16</v>
      </c>
      <c r="E277" s="28" t="s">
        <v>17</v>
      </c>
      <c r="F277" s="28">
        <v>0.1</v>
      </c>
      <c r="G277" s="28">
        <v>3</v>
      </c>
      <c r="H277" s="28" t="str">
        <f>IF(COUNTIFS('Question-Article-Match'!$A:$A,A277,'Question-Article-Match'!$C:$C,C277,'Question-Article-Match'!$F:$F,"direct match")&gt;0,"direct match",IF(COUNTIFS('Question-Article-Match'!$A:$A,A277,'Question-Article-Match'!$C:$C,C277,'Question-Article-Match'!$F:$F,"indirect match")&gt;0,"indirect match","no match"))</f>
        <v>no match</v>
      </c>
    </row>
    <row r="278" spans="1:8">
      <c r="A278" s="28" t="s">
        <v>30</v>
      </c>
      <c r="B278" s="28" t="s">
        <v>31</v>
      </c>
      <c r="C278" s="28">
        <v>15</v>
      </c>
      <c r="D278" s="28" t="s">
        <v>42</v>
      </c>
      <c r="E278" s="28" t="s">
        <v>43</v>
      </c>
      <c r="F278" s="28">
        <v>0.1</v>
      </c>
      <c r="G278" s="28">
        <v>4</v>
      </c>
      <c r="H278" s="28" t="str">
        <f>IF(COUNTIFS('Question-Article-Match'!$A:$A,A278,'Question-Article-Match'!$C:$C,C278,'Question-Article-Match'!$F:$F,"direct match")&gt;0,"direct match",IF(COUNTIFS('Question-Article-Match'!$A:$A,A278,'Question-Article-Match'!$C:$C,C278,'Question-Article-Match'!$F:$F,"indirect match")&gt;0,"indirect match","no match"))</f>
        <v>no match</v>
      </c>
    </row>
    <row r="279" spans="1:8">
      <c r="A279" s="28" t="s">
        <v>30</v>
      </c>
      <c r="B279" s="28" t="s">
        <v>31</v>
      </c>
      <c r="C279" s="28">
        <v>19</v>
      </c>
      <c r="D279" s="28" t="s">
        <v>14</v>
      </c>
      <c r="E279" s="28" t="s">
        <v>15</v>
      </c>
      <c r="F279" s="28">
        <v>0.1</v>
      </c>
      <c r="G279" s="28">
        <v>5</v>
      </c>
      <c r="H279" s="28" t="str">
        <f>IF(COUNTIFS('Question-Article-Match'!$A:$A,A279,'Question-Article-Match'!$C:$C,C279,'Question-Article-Match'!$F:$F,"direct match")&gt;0,"direct match",IF(COUNTIFS('Question-Article-Match'!$A:$A,A279,'Question-Article-Match'!$C:$C,C279,'Question-Article-Match'!$F:$F,"indirect match")&gt;0,"indirect match","no match"))</f>
        <v>no match</v>
      </c>
    </row>
    <row r="280" spans="1:8">
      <c r="A280" s="28" t="s">
        <v>30</v>
      </c>
      <c r="B280" s="28" t="s">
        <v>31</v>
      </c>
      <c r="C280" s="28">
        <v>11</v>
      </c>
      <c r="D280" s="28" t="s">
        <v>89</v>
      </c>
      <c r="E280" s="28" t="s">
        <v>90</v>
      </c>
      <c r="F280" s="28">
        <v>0</v>
      </c>
      <c r="G280" s="28">
        <v>6</v>
      </c>
      <c r="H280" s="28" t="str">
        <f>IF(COUNTIFS('Question-Article-Match'!$A:$A,A280,'Question-Article-Match'!$C:$C,C280,'Question-Article-Match'!$F:$F,"direct match")&gt;0,"direct match",IF(COUNTIFS('Question-Article-Match'!$A:$A,A280,'Question-Article-Match'!$C:$C,C280,'Question-Article-Match'!$F:$F,"indirect match")&gt;0,"indirect match","no match"))</f>
        <v>no match</v>
      </c>
    </row>
    <row r="281" spans="1:8">
      <c r="A281" s="28" t="s">
        <v>30</v>
      </c>
      <c r="B281" s="28" t="s">
        <v>31</v>
      </c>
      <c r="C281" s="28">
        <v>17</v>
      </c>
      <c r="D281" s="28" t="s">
        <v>108</v>
      </c>
      <c r="E281" s="28" t="s">
        <v>109</v>
      </c>
      <c r="F281" s="28">
        <v>0</v>
      </c>
      <c r="G281" s="28">
        <v>7</v>
      </c>
      <c r="H281" s="28" t="str">
        <f>IF(COUNTIFS('Question-Article-Match'!$A:$A,A281,'Question-Article-Match'!$C:$C,C281,'Question-Article-Match'!$F:$F,"direct match")&gt;0,"direct match",IF(COUNTIFS('Question-Article-Match'!$A:$A,A281,'Question-Article-Match'!$C:$C,C281,'Question-Article-Match'!$F:$F,"indirect match")&gt;0,"indirect match","no match"))</f>
        <v>no match</v>
      </c>
    </row>
    <row r="282" spans="1:8">
      <c r="A282" s="28" t="s">
        <v>30</v>
      </c>
      <c r="B282" s="28" t="s">
        <v>31</v>
      </c>
      <c r="C282" s="28">
        <v>20</v>
      </c>
      <c r="D282" s="28" t="s">
        <v>113</v>
      </c>
      <c r="E282" s="28" t="s">
        <v>114</v>
      </c>
      <c r="F282" s="28">
        <v>0</v>
      </c>
      <c r="G282" s="28">
        <v>8</v>
      </c>
      <c r="H282" s="28" t="str">
        <f>IF(COUNTIFS('Question-Article-Match'!$A:$A,A282,'Question-Article-Match'!$C:$C,C282,'Question-Article-Match'!$F:$F,"direct match")&gt;0,"direct match",IF(COUNTIFS('Question-Article-Match'!$A:$A,A282,'Question-Article-Match'!$C:$C,C282,'Question-Article-Match'!$F:$F,"indirect match")&gt;0,"indirect match","no match"))</f>
        <v>no match</v>
      </c>
    </row>
    <row r="283" spans="1:8">
      <c r="A283" s="28" t="s">
        <v>30</v>
      </c>
      <c r="B283" s="28" t="s">
        <v>31</v>
      </c>
      <c r="C283" s="28">
        <v>7</v>
      </c>
      <c r="D283" s="28" t="s">
        <v>75</v>
      </c>
      <c r="E283" s="28" t="s">
        <v>76</v>
      </c>
      <c r="F283" s="28">
        <v>0</v>
      </c>
      <c r="G283" s="28">
        <v>9</v>
      </c>
      <c r="H283" s="28" t="str">
        <f>IF(COUNTIFS('Question-Article-Match'!$A:$A,A283,'Question-Article-Match'!$C:$C,C283,'Question-Article-Match'!$F:$F,"direct match")&gt;0,"direct match",IF(COUNTIFS('Question-Article-Match'!$A:$A,A283,'Question-Article-Match'!$C:$C,C283,'Question-Article-Match'!$F:$F,"indirect match")&gt;0,"indirect match","no match"))</f>
        <v>no match</v>
      </c>
    </row>
    <row r="284" spans="1:8">
      <c r="A284" s="28" t="s">
        <v>30</v>
      </c>
      <c r="B284" s="28" t="s">
        <v>31</v>
      </c>
      <c r="C284" s="28">
        <v>9</v>
      </c>
      <c r="D284" s="28" t="s">
        <v>10</v>
      </c>
      <c r="E284" s="28" t="s">
        <v>11</v>
      </c>
      <c r="F284" s="28">
        <v>0</v>
      </c>
      <c r="G284" s="28">
        <v>10</v>
      </c>
      <c r="H284" s="28" t="str">
        <f>IF(COUNTIFS('Question-Article-Match'!$A:$A,A284,'Question-Article-Match'!$C:$C,C284,'Question-Article-Match'!$F:$F,"direct match")&gt;0,"direct match",IF(COUNTIFS('Question-Article-Match'!$A:$A,A284,'Question-Article-Match'!$C:$C,C284,'Question-Article-Match'!$F:$F,"indirect match")&gt;0,"indirect match","no match"))</f>
        <v>no match</v>
      </c>
    </row>
    <row r="285" spans="1:8">
      <c r="A285" s="28" t="s">
        <v>30</v>
      </c>
      <c r="B285" s="28" t="s">
        <v>31</v>
      </c>
      <c r="C285" s="28">
        <v>13</v>
      </c>
      <c r="D285" s="28" t="s">
        <v>34</v>
      </c>
      <c r="E285" s="28" t="s">
        <v>35</v>
      </c>
      <c r="F285" s="28">
        <v>0</v>
      </c>
      <c r="G285" s="28">
        <v>11</v>
      </c>
      <c r="H285" s="28" t="str">
        <f>IF(COUNTIFS('Question-Article-Match'!$A:$A,A285,'Question-Article-Match'!$C:$C,C285,'Question-Article-Match'!$F:$F,"direct match")&gt;0,"direct match",IF(COUNTIFS('Question-Article-Match'!$A:$A,A285,'Question-Article-Match'!$C:$C,C285,'Question-Article-Match'!$F:$F,"indirect match")&gt;0,"indirect match","no match"))</f>
        <v>no match</v>
      </c>
    </row>
    <row r="286" spans="1:8">
      <c r="A286" s="28" t="s">
        <v>30</v>
      </c>
      <c r="B286" s="28" t="s">
        <v>31</v>
      </c>
      <c r="C286" s="28">
        <v>12</v>
      </c>
      <c r="D286" s="28" t="s">
        <v>20</v>
      </c>
      <c r="E286" s="28" t="s">
        <v>21</v>
      </c>
      <c r="F286" s="28">
        <v>0</v>
      </c>
      <c r="G286" s="28">
        <v>12</v>
      </c>
      <c r="H286" s="28" t="str">
        <f>IF(COUNTIFS('Question-Article-Match'!$A:$A,A286,'Question-Article-Match'!$C:$C,C286,'Question-Article-Match'!$F:$F,"direct match")&gt;0,"direct match",IF(COUNTIFS('Question-Article-Match'!$A:$A,A286,'Question-Article-Match'!$C:$C,C286,'Question-Article-Match'!$F:$F,"indirect match")&gt;0,"indirect match","no match"))</f>
        <v>no match</v>
      </c>
    </row>
    <row r="287" spans="1:8">
      <c r="A287" s="28" t="s">
        <v>30</v>
      </c>
      <c r="B287" s="28" t="s">
        <v>31</v>
      </c>
      <c r="C287" s="28">
        <v>5</v>
      </c>
      <c r="D287" s="28" t="s">
        <v>36</v>
      </c>
      <c r="E287" s="28" t="s">
        <v>37</v>
      </c>
      <c r="F287" s="28">
        <v>0</v>
      </c>
      <c r="G287" s="28">
        <v>13</v>
      </c>
      <c r="H287" s="28" t="str">
        <f>IF(COUNTIFS('Question-Article-Match'!$A:$A,A287,'Question-Article-Match'!$C:$C,C287,'Question-Article-Match'!$F:$F,"direct match")&gt;0,"direct match",IF(COUNTIFS('Question-Article-Match'!$A:$A,A287,'Question-Article-Match'!$C:$C,C287,'Question-Article-Match'!$F:$F,"indirect match")&gt;0,"indirect match","no match"))</f>
        <v>no match</v>
      </c>
    </row>
    <row r="288" spans="1:8">
      <c r="A288" s="28" t="s">
        <v>30</v>
      </c>
      <c r="B288" s="28" t="s">
        <v>31</v>
      </c>
      <c r="C288" s="28">
        <v>10</v>
      </c>
      <c r="D288" s="28" t="s">
        <v>32</v>
      </c>
      <c r="E288" s="28" t="s">
        <v>33</v>
      </c>
      <c r="F288" s="28">
        <v>0</v>
      </c>
      <c r="G288" s="28">
        <v>14</v>
      </c>
      <c r="H288" s="28" t="str">
        <f>IF(COUNTIFS('Question-Article-Match'!$A:$A,A288,'Question-Article-Match'!$C:$C,C288,'Question-Article-Match'!$F:$F,"direct match")&gt;0,"direct match",IF(COUNTIFS('Question-Article-Match'!$A:$A,A288,'Question-Article-Match'!$C:$C,C288,'Question-Article-Match'!$F:$F,"indirect match")&gt;0,"indirect match","no match"))</f>
        <v>no match</v>
      </c>
    </row>
    <row r="289" spans="1:8">
      <c r="A289" s="28" t="s">
        <v>30</v>
      </c>
      <c r="B289" s="28" t="s">
        <v>31</v>
      </c>
      <c r="C289" s="28">
        <v>21</v>
      </c>
      <c r="D289" s="28" t="s">
        <v>46</v>
      </c>
      <c r="E289" s="28" t="s">
        <v>47</v>
      </c>
      <c r="F289" s="28">
        <v>0</v>
      </c>
      <c r="G289" s="28">
        <v>15</v>
      </c>
      <c r="H289" s="28" t="str">
        <f>IF(COUNTIFS('Question-Article-Match'!$A:$A,A289,'Question-Article-Match'!$C:$C,C289,'Question-Article-Match'!$F:$F,"direct match")&gt;0,"direct match",IF(COUNTIFS('Question-Article-Match'!$A:$A,A289,'Question-Article-Match'!$C:$C,C289,'Question-Article-Match'!$F:$F,"indirect match")&gt;0,"indirect match","no match"))</f>
        <v>no match</v>
      </c>
    </row>
    <row r="290" spans="1:8">
      <c r="A290" s="28" t="s">
        <v>30</v>
      </c>
      <c r="B290" s="28" t="s">
        <v>31</v>
      </c>
      <c r="C290" s="28">
        <v>8</v>
      </c>
      <c r="D290" s="28" t="s">
        <v>40</v>
      </c>
      <c r="E290" s="28" t="s">
        <v>41</v>
      </c>
      <c r="F290" s="28">
        <v>0</v>
      </c>
      <c r="G290" s="28">
        <v>16</v>
      </c>
      <c r="H290" s="28" t="str">
        <f>IF(COUNTIFS('Question-Article-Match'!$A:$A,A290,'Question-Article-Match'!$C:$C,C290,'Question-Article-Match'!$F:$F,"direct match")&gt;0,"direct match",IF(COUNTIFS('Question-Article-Match'!$A:$A,A290,'Question-Article-Match'!$C:$C,C290,'Question-Article-Match'!$F:$F,"indirect match")&gt;0,"indirect match","no match"))</f>
        <v>no match</v>
      </c>
    </row>
    <row r="291" spans="1:8">
      <c r="A291" s="28" t="s">
        <v>30</v>
      </c>
      <c r="B291" s="28" t="s">
        <v>31</v>
      </c>
      <c r="C291" s="28">
        <v>1</v>
      </c>
      <c r="D291" s="28" t="s">
        <v>22</v>
      </c>
      <c r="E291" s="28" t="s">
        <v>23</v>
      </c>
      <c r="F291" s="28">
        <v>0</v>
      </c>
      <c r="G291" s="28">
        <v>17</v>
      </c>
      <c r="H291" s="28" t="str">
        <f>IF(COUNTIFS('Question-Article-Match'!$A:$A,A291,'Question-Article-Match'!$C:$C,C291,'Question-Article-Match'!$F:$F,"direct match")&gt;0,"direct match",IF(COUNTIFS('Question-Article-Match'!$A:$A,A291,'Question-Article-Match'!$C:$C,C291,'Question-Article-Match'!$F:$F,"indirect match")&gt;0,"indirect match","no match"))</f>
        <v>no match</v>
      </c>
    </row>
    <row r="292" spans="1:8">
      <c r="A292" s="28" t="s">
        <v>30</v>
      </c>
      <c r="B292" s="28" t="s">
        <v>31</v>
      </c>
      <c r="C292" s="28">
        <v>2</v>
      </c>
      <c r="D292" s="28" t="s">
        <v>18</v>
      </c>
      <c r="E292" s="28" t="s">
        <v>19</v>
      </c>
      <c r="F292" s="28">
        <v>0</v>
      </c>
      <c r="G292" s="28">
        <v>18</v>
      </c>
      <c r="H292" s="28" t="str">
        <f>IF(COUNTIFS('Question-Article-Match'!$A:$A,A292,'Question-Article-Match'!$C:$C,C292,'Question-Article-Match'!$F:$F,"direct match")&gt;0,"direct match",IF(COUNTIFS('Question-Article-Match'!$A:$A,A292,'Question-Article-Match'!$C:$C,C292,'Question-Article-Match'!$F:$F,"indirect match")&gt;0,"indirect match","no match"))</f>
        <v>no match</v>
      </c>
    </row>
    <row r="293" spans="1:8">
      <c r="A293" s="28" t="s">
        <v>30</v>
      </c>
      <c r="B293" s="28" t="s">
        <v>31</v>
      </c>
      <c r="C293" s="28">
        <v>18</v>
      </c>
      <c r="D293" s="28" t="s">
        <v>24</v>
      </c>
      <c r="E293" s="28" t="s">
        <v>25</v>
      </c>
      <c r="F293" s="28">
        <v>0</v>
      </c>
      <c r="G293" s="28">
        <v>19</v>
      </c>
      <c r="H293" s="28" t="str">
        <f>IF(COUNTIFS('Question-Article-Match'!$A:$A,A293,'Question-Article-Match'!$C:$C,C293,'Question-Article-Match'!$F:$F,"direct match")&gt;0,"direct match",IF(COUNTIFS('Question-Article-Match'!$A:$A,A293,'Question-Article-Match'!$C:$C,C293,'Question-Article-Match'!$F:$F,"indirect match")&gt;0,"indirect match","no match"))</f>
        <v>no match</v>
      </c>
    </row>
    <row r="294" spans="1:8">
      <c r="A294" s="28" t="s">
        <v>30</v>
      </c>
      <c r="B294" s="28" t="s">
        <v>31</v>
      </c>
      <c r="C294" s="28">
        <v>4</v>
      </c>
      <c r="D294" s="28" t="s">
        <v>64</v>
      </c>
      <c r="E294" s="28" t="s">
        <v>65</v>
      </c>
      <c r="F294" s="28">
        <v>0</v>
      </c>
      <c r="G294" s="28">
        <v>20</v>
      </c>
      <c r="H294" s="28" t="str">
        <f>IF(COUNTIFS('Question-Article-Match'!$A:$A,A294,'Question-Article-Match'!$C:$C,C294,'Question-Article-Match'!$F:$F,"direct match")&gt;0,"direct match",IF(COUNTIFS('Question-Article-Match'!$A:$A,A294,'Question-Article-Match'!$C:$C,C294,'Question-Article-Match'!$F:$F,"indirect match")&gt;0,"indirect match","no match"))</f>
        <v>no match</v>
      </c>
    </row>
    <row r="295" spans="1:8">
      <c r="A295" s="28" t="s">
        <v>30</v>
      </c>
      <c r="B295" s="28" t="s">
        <v>31</v>
      </c>
      <c r="C295" s="28">
        <v>6</v>
      </c>
      <c r="D295" s="28" t="s">
        <v>28</v>
      </c>
      <c r="E295" s="28" t="s">
        <v>29</v>
      </c>
      <c r="F295" s="28">
        <v>0</v>
      </c>
      <c r="G295" s="28">
        <v>21</v>
      </c>
      <c r="H295" s="28" t="str">
        <f>IF(COUNTIFS('Question-Article-Match'!$A:$A,A295,'Question-Article-Match'!$C:$C,C295,'Question-Article-Match'!$F:$F,"direct match")&gt;0,"direct match",IF(COUNTIFS('Question-Article-Match'!$A:$A,A295,'Question-Article-Match'!$C:$C,C295,'Question-Article-Match'!$F:$F,"indirect match")&gt;0,"indirect match","no match"))</f>
        <v>no match</v>
      </c>
    </row>
    <row r="296" spans="1:8">
      <c r="A296" s="28" t="s">
        <v>38</v>
      </c>
      <c r="B296" s="28" t="s">
        <v>39</v>
      </c>
      <c r="C296" s="28">
        <v>16</v>
      </c>
      <c r="D296" s="28" t="s">
        <v>12</v>
      </c>
      <c r="E296" s="28" t="s">
        <v>13</v>
      </c>
      <c r="F296" s="28">
        <v>0.2</v>
      </c>
      <c r="G296" s="28">
        <v>1</v>
      </c>
      <c r="H296" s="28" t="str">
        <f>IF(COUNTIFS('Question-Article-Match'!$A:$A,A296,'Question-Article-Match'!$C:$C,C296,'Question-Article-Match'!$F:$F,"direct match")&gt;0,"direct match",IF(COUNTIFS('Question-Article-Match'!$A:$A,A296,'Question-Article-Match'!$C:$C,C296,'Question-Article-Match'!$F:$F,"indirect match")&gt;0,"indirect match","no match"))</f>
        <v>no match</v>
      </c>
    </row>
    <row r="297" spans="1:8">
      <c r="A297" s="28" t="s">
        <v>38</v>
      </c>
      <c r="B297" s="28" t="s">
        <v>39</v>
      </c>
      <c r="C297" s="28">
        <v>18</v>
      </c>
      <c r="D297" s="28" t="s">
        <v>24</v>
      </c>
      <c r="E297" s="28" t="s">
        <v>25</v>
      </c>
      <c r="F297" s="28">
        <v>0.2</v>
      </c>
      <c r="G297" s="28">
        <v>2</v>
      </c>
      <c r="H297" s="28" t="str">
        <f>IF(COUNTIFS('Question-Article-Match'!$A:$A,A297,'Question-Article-Match'!$C:$C,C297,'Question-Article-Match'!$F:$F,"direct match")&gt;0,"direct match",IF(COUNTIFS('Question-Article-Match'!$A:$A,A297,'Question-Article-Match'!$C:$C,C297,'Question-Article-Match'!$F:$F,"indirect match")&gt;0,"indirect match","no match"))</f>
        <v>direct match</v>
      </c>
    </row>
    <row r="298" spans="1:8">
      <c r="A298" s="28" t="s">
        <v>38</v>
      </c>
      <c r="B298" s="28" t="s">
        <v>39</v>
      </c>
      <c r="C298" s="28">
        <v>3</v>
      </c>
      <c r="D298" s="28" t="s">
        <v>26</v>
      </c>
      <c r="E298" s="28" t="s">
        <v>27</v>
      </c>
      <c r="F298" s="28">
        <v>0.2</v>
      </c>
      <c r="G298" s="28">
        <v>3</v>
      </c>
      <c r="H298" s="28" t="str">
        <f>IF(COUNTIFS('Question-Article-Match'!$A:$A,A298,'Question-Article-Match'!$C:$C,C298,'Question-Article-Match'!$F:$F,"direct match")&gt;0,"direct match",IF(COUNTIFS('Question-Article-Match'!$A:$A,A298,'Question-Article-Match'!$C:$C,C298,'Question-Article-Match'!$F:$F,"indirect match")&gt;0,"indirect match","no match"))</f>
        <v>indirect match</v>
      </c>
    </row>
    <row r="299" spans="1:8">
      <c r="A299" s="28" t="s">
        <v>38</v>
      </c>
      <c r="B299" s="28" t="s">
        <v>39</v>
      </c>
      <c r="C299" s="28">
        <v>14</v>
      </c>
      <c r="D299" s="28" t="s">
        <v>16</v>
      </c>
      <c r="E299" s="28" t="s">
        <v>17</v>
      </c>
      <c r="F299" s="28">
        <v>0.1</v>
      </c>
      <c r="G299" s="28">
        <v>4</v>
      </c>
      <c r="H299" s="28" t="str">
        <f>IF(COUNTIFS('Question-Article-Match'!$A:$A,A299,'Question-Article-Match'!$C:$C,C299,'Question-Article-Match'!$F:$F,"direct match")&gt;0,"direct match",IF(COUNTIFS('Question-Article-Match'!$A:$A,A299,'Question-Article-Match'!$C:$C,C299,'Question-Article-Match'!$F:$F,"indirect match")&gt;0,"indirect match","no match"))</f>
        <v>no match</v>
      </c>
    </row>
    <row r="300" spans="1:8">
      <c r="A300" s="28" t="s">
        <v>38</v>
      </c>
      <c r="B300" s="28" t="s">
        <v>39</v>
      </c>
      <c r="C300" s="28">
        <v>19</v>
      </c>
      <c r="D300" s="28" t="s">
        <v>14</v>
      </c>
      <c r="E300" s="28" t="s">
        <v>15</v>
      </c>
      <c r="F300" s="28">
        <v>0.1</v>
      </c>
      <c r="G300" s="28">
        <v>5</v>
      </c>
      <c r="H300" s="28" t="str">
        <f>IF(COUNTIFS('Question-Article-Match'!$A:$A,A300,'Question-Article-Match'!$C:$C,C300,'Question-Article-Match'!$F:$F,"direct match")&gt;0,"direct match",IF(COUNTIFS('Question-Article-Match'!$A:$A,A300,'Question-Article-Match'!$C:$C,C300,'Question-Article-Match'!$F:$F,"indirect match")&gt;0,"indirect match","no match"))</f>
        <v>no match</v>
      </c>
    </row>
    <row r="301" spans="1:8">
      <c r="A301" s="28" t="s">
        <v>38</v>
      </c>
      <c r="B301" s="28" t="s">
        <v>39</v>
      </c>
      <c r="C301" s="28">
        <v>11</v>
      </c>
      <c r="D301" s="28" t="s">
        <v>89</v>
      </c>
      <c r="E301" s="28" t="s">
        <v>90</v>
      </c>
      <c r="F301" s="28">
        <v>0</v>
      </c>
      <c r="G301" s="28">
        <v>6</v>
      </c>
      <c r="H301" s="28" t="str">
        <f>IF(COUNTIFS('Question-Article-Match'!$A:$A,A301,'Question-Article-Match'!$C:$C,C301,'Question-Article-Match'!$F:$F,"direct match")&gt;0,"direct match",IF(COUNTIFS('Question-Article-Match'!$A:$A,A301,'Question-Article-Match'!$C:$C,C301,'Question-Article-Match'!$F:$F,"indirect match")&gt;0,"indirect match","no match"))</f>
        <v>no match</v>
      </c>
    </row>
    <row r="302" spans="1:8">
      <c r="A302" s="28" t="s">
        <v>38</v>
      </c>
      <c r="B302" s="28" t="s">
        <v>39</v>
      </c>
      <c r="C302" s="28">
        <v>17</v>
      </c>
      <c r="D302" s="28" t="s">
        <v>108</v>
      </c>
      <c r="E302" s="28" t="s">
        <v>109</v>
      </c>
      <c r="F302" s="28">
        <v>0</v>
      </c>
      <c r="G302" s="28">
        <v>7</v>
      </c>
      <c r="H302" s="28" t="str">
        <f>IF(COUNTIFS('Question-Article-Match'!$A:$A,A302,'Question-Article-Match'!$C:$C,C302,'Question-Article-Match'!$F:$F,"direct match")&gt;0,"direct match",IF(COUNTIFS('Question-Article-Match'!$A:$A,A302,'Question-Article-Match'!$C:$C,C302,'Question-Article-Match'!$F:$F,"indirect match")&gt;0,"indirect match","no match"))</f>
        <v>no match</v>
      </c>
    </row>
    <row r="303" spans="1:8">
      <c r="A303" s="28" t="s">
        <v>38</v>
      </c>
      <c r="B303" s="28" t="s">
        <v>39</v>
      </c>
      <c r="C303" s="28">
        <v>20</v>
      </c>
      <c r="D303" s="28" t="s">
        <v>113</v>
      </c>
      <c r="E303" s="28" t="s">
        <v>114</v>
      </c>
      <c r="F303" s="28">
        <v>0</v>
      </c>
      <c r="G303" s="28">
        <v>8</v>
      </c>
      <c r="H303" s="28" t="str">
        <f>IF(COUNTIFS('Question-Article-Match'!$A:$A,A303,'Question-Article-Match'!$C:$C,C303,'Question-Article-Match'!$F:$F,"direct match")&gt;0,"direct match",IF(COUNTIFS('Question-Article-Match'!$A:$A,A303,'Question-Article-Match'!$C:$C,C303,'Question-Article-Match'!$F:$F,"indirect match")&gt;0,"indirect match","no match"))</f>
        <v>no match</v>
      </c>
    </row>
    <row r="304" spans="1:8">
      <c r="A304" s="28" t="s">
        <v>38</v>
      </c>
      <c r="B304" s="28" t="s">
        <v>39</v>
      </c>
      <c r="C304" s="28">
        <v>7</v>
      </c>
      <c r="D304" s="28" t="s">
        <v>75</v>
      </c>
      <c r="E304" s="28" t="s">
        <v>76</v>
      </c>
      <c r="F304" s="28">
        <v>0</v>
      </c>
      <c r="G304" s="28">
        <v>9</v>
      </c>
      <c r="H304" s="28" t="str">
        <f>IF(COUNTIFS('Question-Article-Match'!$A:$A,A304,'Question-Article-Match'!$C:$C,C304,'Question-Article-Match'!$F:$F,"direct match")&gt;0,"direct match",IF(COUNTIFS('Question-Article-Match'!$A:$A,A304,'Question-Article-Match'!$C:$C,C304,'Question-Article-Match'!$F:$F,"indirect match")&gt;0,"indirect match","no match"))</f>
        <v>no match</v>
      </c>
    </row>
    <row r="305" spans="1:8">
      <c r="A305" s="28" t="s">
        <v>38</v>
      </c>
      <c r="B305" s="28" t="s">
        <v>39</v>
      </c>
      <c r="C305" s="28">
        <v>9</v>
      </c>
      <c r="D305" s="28" t="s">
        <v>10</v>
      </c>
      <c r="E305" s="28" t="s">
        <v>11</v>
      </c>
      <c r="F305" s="28">
        <v>0</v>
      </c>
      <c r="G305" s="28">
        <v>10</v>
      </c>
      <c r="H305" s="28" t="str">
        <f>IF(COUNTIFS('Question-Article-Match'!$A:$A,A305,'Question-Article-Match'!$C:$C,C305,'Question-Article-Match'!$F:$F,"direct match")&gt;0,"direct match",IF(COUNTIFS('Question-Article-Match'!$A:$A,A305,'Question-Article-Match'!$C:$C,C305,'Question-Article-Match'!$F:$F,"indirect match")&gt;0,"indirect match","no match"))</f>
        <v>no match</v>
      </c>
    </row>
    <row r="306" spans="1:8">
      <c r="A306" s="28" t="s">
        <v>38</v>
      </c>
      <c r="B306" s="28" t="s">
        <v>39</v>
      </c>
      <c r="C306" s="28">
        <v>13</v>
      </c>
      <c r="D306" s="28" t="s">
        <v>34</v>
      </c>
      <c r="E306" s="28" t="s">
        <v>35</v>
      </c>
      <c r="F306" s="28">
        <v>0</v>
      </c>
      <c r="G306" s="28">
        <v>11</v>
      </c>
      <c r="H306" s="28" t="str">
        <f>IF(COUNTIFS('Question-Article-Match'!$A:$A,A306,'Question-Article-Match'!$C:$C,C306,'Question-Article-Match'!$F:$F,"direct match")&gt;0,"direct match",IF(COUNTIFS('Question-Article-Match'!$A:$A,A306,'Question-Article-Match'!$C:$C,C306,'Question-Article-Match'!$F:$F,"indirect match")&gt;0,"indirect match","no match"))</f>
        <v>no match</v>
      </c>
    </row>
    <row r="307" spans="1:8">
      <c r="A307" s="28" t="s">
        <v>38</v>
      </c>
      <c r="B307" s="28" t="s">
        <v>39</v>
      </c>
      <c r="C307" s="28">
        <v>12</v>
      </c>
      <c r="D307" s="28" t="s">
        <v>20</v>
      </c>
      <c r="E307" s="28" t="s">
        <v>21</v>
      </c>
      <c r="F307" s="28">
        <v>0</v>
      </c>
      <c r="G307" s="28">
        <v>12</v>
      </c>
      <c r="H307" s="28" t="str">
        <f>IF(COUNTIFS('Question-Article-Match'!$A:$A,A307,'Question-Article-Match'!$C:$C,C307,'Question-Article-Match'!$F:$F,"direct match")&gt;0,"direct match",IF(COUNTIFS('Question-Article-Match'!$A:$A,A307,'Question-Article-Match'!$C:$C,C307,'Question-Article-Match'!$F:$F,"indirect match")&gt;0,"indirect match","no match"))</f>
        <v>no match</v>
      </c>
    </row>
    <row r="308" spans="1:8">
      <c r="A308" s="28" t="s">
        <v>38</v>
      </c>
      <c r="B308" s="28" t="s">
        <v>39</v>
      </c>
      <c r="C308" s="28">
        <v>5</v>
      </c>
      <c r="D308" s="28" t="s">
        <v>36</v>
      </c>
      <c r="E308" s="28" t="s">
        <v>37</v>
      </c>
      <c r="F308" s="28">
        <v>0</v>
      </c>
      <c r="G308" s="28">
        <v>13</v>
      </c>
      <c r="H308" s="28" t="str">
        <f>IF(COUNTIFS('Question-Article-Match'!$A:$A,A308,'Question-Article-Match'!$C:$C,C308,'Question-Article-Match'!$F:$F,"direct match")&gt;0,"direct match",IF(COUNTIFS('Question-Article-Match'!$A:$A,A308,'Question-Article-Match'!$C:$C,C308,'Question-Article-Match'!$F:$F,"indirect match")&gt;0,"indirect match","no match"))</f>
        <v>no match</v>
      </c>
    </row>
    <row r="309" spans="1:8">
      <c r="A309" s="28" t="s">
        <v>38</v>
      </c>
      <c r="B309" s="28" t="s">
        <v>39</v>
      </c>
      <c r="C309" s="28">
        <v>10</v>
      </c>
      <c r="D309" s="28" t="s">
        <v>32</v>
      </c>
      <c r="E309" s="28" t="s">
        <v>33</v>
      </c>
      <c r="F309" s="28">
        <v>0</v>
      </c>
      <c r="G309" s="28">
        <v>14</v>
      </c>
      <c r="H309" s="28" t="str">
        <f>IF(COUNTIFS('Question-Article-Match'!$A:$A,A309,'Question-Article-Match'!$C:$C,C309,'Question-Article-Match'!$F:$F,"direct match")&gt;0,"direct match",IF(COUNTIFS('Question-Article-Match'!$A:$A,A309,'Question-Article-Match'!$C:$C,C309,'Question-Article-Match'!$F:$F,"indirect match")&gt;0,"indirect match","no match"))</f>
        <v>no match</v>
      </c>
    </row>
    <row r="310" spans="1:8">
      <c r="A310" s="28" t="s">
        <v>38</v>
      </c>
      <c r="B310" s="28" t="s">
        <v>39</v>
      </c>
      <c r="C310" s="28">
        <v>21</v>
      </c>
      <c r="D310" s="28" t="s">
        <v>46</v>
      </c>
      <c r="E310" s="28" t="s">
        <v>47</v>
      </c>
      <c r="F310" s="28">
        <v>0</v>
      </c>
      <c r="G310" s="28">
        <v>15</v>
      </c>
      <c r="H310" s="28" t="str">
        <f>IF(COUNTIFS('Question-Article-Match'!$A:$A,A310,'Question-Article-Match'!$C:$C,C310,'Question-Article-Match'!$F:$F,"direct match")&gt;0,"direct match",IF(COUNTIFS('Question-Article-Match'!$A:$A,A310,'Question-Article-Match'!$C:$C,C310,'Question-Article-Match'!$F:$F,"indirect match")&gt;0,"indirect match","no match"))</f>
        <v>no match</v>
      </c>
    </row>
    <row r="311" spans="1:8">
      <c r="A311" s="28" t="s">
        <v>38</v>
      </c>
      <c r="B311" s="28" t="s">
        <v>39</v>
      </c>
      <c r="C311" s="28">
        <v>8</v>
      </c>
      <c r="D311" s="28" t="s">
        <v>40</v>
      </c>
      <c r="E311" s="28" t="s">
        <v>41</v>
      </c>
      <c r="F311" s="28">
        <v>0</v>
      </c>
      <c r="G311" s="28">
        <v>16</v>
      </c>
      <c r="H311" s="28" t="str">
        <f>IF(COUNTIFS('Question-Article-Match'!$A:$A,A311,'Question-Article-Match'!$C:$C,C311,'Question-Article-Match'!$F:$F,"direct match")&gt;0,"direct match",IF(COUNTIFS('Question-Article-Match'!$A:$A,A311,'Question-Article-Match'!$C:$C,C311,'Question-Article-Match'!$F:$F,"indirect match")&gt;0,"indirect match","no match"))</f>
        <v>no match</v>
      </c>
    </row>
    <row r="312" spans="1:8">
      <c r="A312" s="28" t="s">
        <v>38</v>
      </c>
      <c r="B312" s="28" t="s">
        <v>39</v>
      </c>
      <c r="C312" s="28">
        <v>1</v>
      </c>
      <c r="D312" s="28" t="s">
        <v>22</v>
      </c>
      <c r="E312" s="28" t="s">
        <v>23</v>
      </c>
      <c r="F312" s="28">
        <v>0</v>
      </c>
      <c r="G312" s="28">
        <v>17</v>
      </c>
      <c r="H312" s="28" t="str">
        <f>IF(COUNTIFS('Question-Article-Match'!$A:$A,A312,'Question-Article-Match'!$C:$C,C312,'Question-Article-Match'!$F:$F,"direct match")&gt;0,"direct match",IF(COUNTIFS('Question-Article-Match'!$A:$A,A312,'Question-Article-Match'!$C:$C,C312,'Question-Article-Match'!$F:$F,"indirect match")&gt;0,"indirect match","no match"))</f>
        <v>no match</v>
      </c>
    </row>
    <row r="313" spans="1:8">
      <c r="A313" s="28" t="s">
        <v>38</v>
      </c>
      <c r="B313" s="28" t="s">
        <v>39</v>
      </c>
      <c r="C313" s="28">
        <v>2</v>
      </c>
      <c r="D313" s="28" t="s">
        <v>18</v>
      </c>
      <c r="E313" s="28" t="s">
        <v>19</v>
      </c>
      <c r="F313" s="28">
        <v>0</v>
      </c>
      <c r="G313" s="28">
        <v>18</v>
      </c>
      <c r="H313" s="28" t="str">
        <f>IF(COUNTIFS('Question-Article-Match'!$A:$A,A313,'Question-Article-Match'!$C:$C,C313,'Question-Article-Match'!$F:$F,"direct match")&gt;0,"direct match",IF(COUNTIFS('Question-Article-Match'!$A:$A,A313,'Question-Article-Match'!$C:$C,C313,'Question-Article-Match'!$F:$F,"indirect match")&gt;0,"indirect match","no match"))</f>
        <v>no match</v>
      </c>
    </row>
    <row r="314" spans="1:8">
      <c r="A314" s="28" t="s">
        <v>38</v>
      </c>
      <c r="B314" s="28" t="s">
        <v>39</v>
      </c>
      <c r="C314" s="28">
        <v>4</v>
      </c>
      <c r="D314" s="28" t="s">
        <v>64</v>
      </c>
      <c r="E314" s="28" t="s">
        <v>65</v>
      </c>
      <c r="F314" s="28">
        <v>0</v>
      </c>
      <c r="G314" s="28">
        <v>19</v>
      </c>
      <c r="H314" s="28" t="str">
        <f>IF(COUNTIFS('Question-Article-Match'!$A:$A,A314,'Question-Article-Match'!$C:$C,C314,'Question-Article-Match'!$F:$F,"direct match")&gt;0,"direct match",IF(COUNTIFS('Question-Article-Match'!$A:$A,A314,'Question-Article-Match'!$C:$C,C314,'Question-Article-Match'!$F:$F,"indirect match")&gt;0,"indirect match","no match"))</f>
        <v>no match</v>
      </c>
    </row>
    <row r="315" spans="1:8">
      <c r="A315" s="28" t="s">
        <v>38</v>
      </c>
      <c r="B315" s="28" t="s">
        <v>39</v>
      </c>
      <c r="C315" s="28">
        <v>6</v>
      </c>
      <c r="D315" s="28" t="s">
        <v>28</v>
      </c>
      <c r="E315" s="28" t="s">
        <v>29</v>
      </c>
      <c r="F315" s="28">
        <v>0</v>
      </c>
      <c r="G315" s="28">
        <v>20</v>
      </c>
      <c r="H315" s="28" t="str">
        <f>IF(COUNTIFS('Question-Article-Match'!$A:$A,A315,'Question-Article-Match'!$C:$C,C315,'Question-Article-Match'!$F:$F,"direct match")&gt;0,"direct match",IF(COUNTIFS('Question-Article-Match'!$A:$A,A315,'Question-Article-Match'!$C:$C,C315,'Question-Article-Match'!$F:$F,"indirect match")&gt;0,"indirect match","no match"))</f>
        <v>no match</v>
      </c>
    </row>
    <row r="316" spans="1:8">
      <c r="A316" s="28" t="s">
        <v>38</v>
      </c>
      <c r="B316" s="28" t="s">
        <v>39</v>
      </c>
      <c r="C316" s="28">
        <v>15</v>
      </c>
      <c r="D316" s="28" t="s">
        <v>42</v>
      </c>
      <c r="E316" s="28" t="s">
        <v>43</v>
      </c>
      <c r="F316" s="28">
        <v>0</v>
      </c>
      <c r="G316" s="28">
        <v>21</v>
      </c>
      <c r="H316" s="28" t="str">
        <f>IF(COUNTIFS('Question-Article-Match'!$A:$A,A316,'Question-Article-Match'!$C:$C,C316,'Question-Article-Match'!$F:$F,"direct match")&gt;0,"direct match",IF(COUNTIFS('Question-Article-Match'!$A:$A,A316,'Question-Article-Match'!$C:$C,C316,'Question-Article-Match'!$F:$F,"indirect match")&gt;0,"indirect match","no match"))</f>
        <v>no match</v>
      </c>
    </row>
    <row r="317" spans="1:8">
      <c r="A317" s="28" t="s">
        <v>44</v>
      </c>
      <c r="B317" s="28" t="s">
        <v>45</v>
      </c>
      <c r="C317" s="28">
        <v>3</v>
      </c>
      <c r="D317" s="28" t="s">
        <v>26</v>
      </c>
      <c r="E317" s="28" t="s">
        <v>27</v>
      </c>
      <c r="F317" s="28">
        <v>0.7</v>
      </c>
      <c r="G317" s="28">
        <v>1</v>
      </c>
      <c r="H317" s="28" t="str">
        <f>IF(COUNTIFS('Question-Article-Match'!$A:$A,A317,'Question-Article-Match'!$C:$C,C317,'Question-Article-Match'!$F:$F,"direct match")&gt;0,"direct match",IF(COUNTIFS('Question-Article-Match'!$A:$A,A317,'Question-Article-Match'!$C:$C,C317,'Question-Article-Match'!$F:$F,"indirect match")&gt;0,"indirect match","no match"))</f>
        <v>direct match</v>
      </c>
    </row>
    <row r="318" spans="1:8">
      <c r="A318" s="28" t="s">
        <v>44</v>
      </c>
      <c r="B318" s="28" t="s">
        <v>45</v>
      </c>
      <c r="C318" s="28">
        <v>16</v>
      </c>
      <c r="D318" s="28" t="s">
        <v>12</v>
      </c>
      <c r="E318" s="28" t="s">
        <v>13</v>
      </c>
      <c r="F318" s="28">
        <v>0.4</v>
      </c>
      <c r="G318" s="28">
        <v>2</v>
      </c>
      <c r="H318" s="28" t="str">
        <f>IF(COUNTIFS('Question-Article-Match'!$A:$A,A318,'Question-Article-Match'!$C:$C,C318,'Question-Article-Match'!$F:$F,"direct match")&gt;0,"direct match",IF(COUNTIFS('Question-Article-Match'!$A:$A,A318,'Question-Article-Match'!$C:$C,C318,'Question-Article-Match'!$F:$F,"indirect match")&gt;0,"indirect match","no match"))</f>
        <v>no match</v>
      </c>
    </row>
    <row r="319" spans="1:8">
      <c r="A319" s="28" t="s">
        <v>44</v>
      </c>
      <c r="B319" s="28" t="s">
        <v>45</v>
      </c>
      <c r="C319" s="28">
        <v>21</v>
      </c>
      <c r="D319" s="28" t="s">
        <v>46</v>
      </c>
      <c r="E319" s="28" t="s">
        <v>47</v>
      </c>
      <c r="F319" s="28">
        <v>0.2</v>
      </c>
      <c r="G319" s="28">
        <v>3</v>
      </c>
      <c r="H319" s="28" t="str">
        <f>IF(COUNTIFS('Question-Article-Match'!$A:$A,A319,'Question-Article-Match'!$C:$C,C319,'Question-Article-Match'!$F:$F,"direct match")&gt;0,"direct match",IF(COUNTIFS('Question-Article-Match'!$A:$A,A319,'Question-Article-Match'!$C:$C,C319,'Question-Article-Match'!$F:$F,"indirect match")&gt;0,"indirect match","no match"))</f>
        <v>no match</v>
      </c>
    </row>
    <row r="320" spans="1:8">
      <c r="A320" s="28" t="s">
        <v>44</v>
      </c>
      <c r="B320" s="28" t="s">
        <v>45</v>
      </c>
      <c r="C320" s="28">
        <v>14</v>
      </c>
      <c r="D320" s="28" t="s">
        <v>16</v>
      </c>
      <c r="E320" s="28" t="s">
        <v>17</v>
      </c>
      <c r="F320" s="28">
        <v>0.2</v>
      </c>
      <c r="G320" s="28">
        <v>4</v>
      </c>
      <c r="H320" s="28" t="str">
        <f>IF(COUNTIFS('Question-Article-Match'!$A:$A,A320,'Question-Article-Match'!$C:$C,C320,'Question-Article-Match'!$F:$F,"direct match")&gt;0,"direct match",IF(COUNTIFS('Question-Article-Match'!$A:$A,A320,'Question-Article-Match'!$C:$C,C320,'Question-Article-Match'!$F:$F,"indirect match")&gt;0,"indirect match","no match"))</f>
        <v>indirect match</v>
      </c>
    </row>
    <row r="321" spans="1:8">
      <c r="A321" s="28" t="s">
        <v>44</v>
      </c>
      <c r="B321" s="28" t="s">
        <v>45</v>
      </c>
      <c r="C321" s="28">
        <v>1</v>
      </c>
      <c r="D321" s="28" t="s">
        <v>22</v>
      </c>
      <c r="E321" s="28" t="s">
        <v>23</v>
      </c>
      <c r="F321" s="28">
        <v>0.2</v>
      </c>
      <c r="G321" s="28">
        <v>5</v>
      </c>
      <c r="H321" s="28" t="str">
        <f>IF(COUNTIFS('Question-Article-Match'!$A:$A,A321,'Question-Article-Match'!$C:$C,C321,'Question-Article-Match'!$F:$F,"direct match")&gt;0,"direct match",IF(COUNTIFS('Question-Article-Match'!$A:$A,A321,'Question-Article-Match'!$C:$C,C321,'Question-Article-Match'!$F:$F,"indirect match")&gt;0,"indirect match","no match"))</f>
        <v>no match</v>
      </c>
    </row>
    <row r="322" spans="1:8">
      <c r="A322" s="28" t="s">
        <v>44</v>
      </c>
      <c r="B322" s="28" t="s">
        <v>45</v>
      </c>
      <c r="C322" s="28">
        <v>2</v>
      </c>
      <c r="D322" s="28" t="s">
        <v>18</v>
      </c>
      <c r="E322" s="28" t="s">
        <v>19</v>
      </c>
      <c r="F322" s="28">
        <v>0.2</v>
      </c>
      <c r="G322" s="28">
        <v>6</v>
      </c>
      <c r="H322" s="28" t="str">
        <f>IF(COUNTIFS('Question-Article-Match'!$A:$A,A322,'Question-Article-Match'!$C:$C,C322,'Question-Article-Match'!$F:$F,"direct match")&gt;0,"direct match",IF(COUNTIFS('Question-Article-Match'!$A:$A,A322,'Question-Article-Match'!$C:$C,C322,'Question-Article-Match'!$F:$F,"indirect match")&gt;0,"indirect match","no match"))</f>
        <v>no match</v>
      </c>
    </row>
    <row r="323" spans="1:8">
      <c r="A323" s="28" t="s">
        <v>44</v>
      </c>
      <c r="B323" s="28" t="s">
        <v>45</v>
      </c>
      <c r="C323" s="28">
        <v>17</v>
      </c>
      <c r="D323" s="28" t="s">
        <v>108</v>
      </c>
      <c r="E323" s="28" t="s">
        <v>109</v>
      </c>
      <c r="F323" s="28">
        <v>0.1</v>
      </c>
      <c r="G323" s="28">
        <v>7</v>
      </c>
      <c r="H323" s="28" t="str">
        <f>IF(COUNTIFS('Question-Article-Match'!$A:$A,A323,'Question-Article-Match'!$C:$C,C323,'Question-Article-Match'!$F:$F,"direct match")&gt;0,"direct match",IF(COUNTIFS('Question-Article-Match'!$A:$A,A323,'Question-Article-Match'!$C:$C,C323,'Question-Article-Match'!$F:$F,"indirect match")&gt;0,"indirect match","no match"))</f>
        <v>no match</v>
      </c>
    </row>
    <row r="324" spans="1:8">
      <c r="A324" s="28" t="s">
        <v>44</v>
      </c>
      <c r="B324" s="28" t="s">
        <v>45</v>
      </c>
      <c r="C324" s="28">
        <v>13</v>
      </c>
      <c r="D324" s="28" t="s">
        <v>34</v>
      </c>
      <c r="E324" s="28" t="s">
        <v>35</v>
      </c>
      <c r="F324" s="28">
        <v>0.1</v>
      </c>
      <c r="G324" s="28">
        <v>8</v>
      </c>
      <c r="H324" s="28" t="str">
        <f>IF(COUNTIFS('Question-Article-Match'!$A:$A,A324,'Question-Article-Match'!$C:$C,C324,'Question-Article-Match'!$F:$F,"direct match")&gt;0,"direct match",IF(COUNTIFS('Question-Article-Match'!$A:$A,A324,'Question-Article-Match'!$C:$C,C324,'Question-Article-Match'!$F:$F,"indirect match")&gt;0,"indirect match","no match"))</f>
        <v>no match</v>
      </c>
    </row>
    <row r="325" spans="1:8">
      <c r="A325" s="28" t="s">
        <v>44</v>
      </c>
      <c r="B325" s="28" t="s">
        <v>45</v>
      </c>
      <c r="C325" s="28">
        <v>18</v>
      </c>
      <c r="D325" s="28" t="s">
        <v>24</v>
      </c>
      <c r="E325" s="28" t="s">
        <v>25</v>
      </c>
      <c r="F325" s="28">
        <v>0.1</v>
      </c>
      <c r="G325" s="28">
        <v>9</v>
      </c>
      <c r="H325" s="28" t="str">
        <f>IF(COUNTIFS('Question-Article-Match'!$A:$A,A325,'Question-Article-Match'!$C:$C,C325,'Question-Article-Match'!$F:$F,"direct match")&gt;0,"direct match",IF(COUNTIFS('Question-Article-Match'!$A:$A,A325,'Question-Article-Match'!$C:$C,C325,'Question-Article-Match'!$F:$F,"indirect match")&gt;0,"indirect match","no match"))</f>
        <v>indirect match</v>
      </c>
    </row>
    <row r="326" spans="1:8">
      <c r="A326" s="28" t="s">
        <v>44</v>
      </c>
      <c r="B326" s="28" t="s">
        <v>45</v>
      </c>
      <c r="C326" s="28">
        <v>15</v>
      </c>
      <c r="D326" s="28" t="s">
        <v>42</v>
      </c>
      <c r="E326" s="28" t="s">
        <v>43</v>
      </c>
      <c r="F326" s="28">
        <v>0.1</v>
      </c>
      <c r="G326" s="28">
        <v>10</v>
      </c>
      <c r="H326" s="28" t="str">
        <f>IF(COUNTIFS('Question-Article-Match'!$A:$A,A326,'Question-Article-Match'!$C:$C,C326,'Question-Article-Match'!$F:$F,"direct match")&gt;0,"direct match",IF(COUNTIFS('Question-Article-Match'!$A:$A,A326,'Question-Article-Match'!$C:$C,C326,'Question-Article-Match'!$F:$F,"indirect match")&gt;0,"indirect match","no match"))</f>
        <v>no match</v>
      </c>
    </row>
    <row r="327" spans="1:8">
      <c r="A327" s="28" t="s">
        <v>44</v>
      </c>
      <c r="B327" s="28" t="s">
        <v>45</v>
      </c>
      <c r="C327" s="28">
        <v>19</v>
      </c>
      <c r="D327" s="28" t="s">
        <v>14</v>
      </c>
      <c r="E327" s="28" t="s">
        <v>15</v>
      </c>
      <c r="F327" s="28">
        <v>0.1</v>
      </c>
      <c r="G327" s="28">
        <v>11</v>
      </c>
      <c r="H327" s="28" t="str">
        <f>IF(COUNTIFS('Question-Article-Match'!$A:$A,A327,'Question-Article-Match'!$C:$C,C327,'Question-Article-Match'!$F:$F,"direct match")&gt;0,"direct match",IF(COUNTIFS('Question-Article-Match'!$A:$A,A327,'Question-Article-Match'!$C:$C,C327,'Question-Article-Match'!$F:$F,"indirect match")&gt;0,"indirect match","no match"))</f>
        <v>no match</v>
      </c>
    </row>
    <row r="328" spans="1:8">
      <c r="A328" s="28" t="s">
        <v>44</v>
      </c>
      <c r="B328" s="28" t="s">
        <v>45</v>
      </c>
      <c r="C328" s="28">
        <v>11</v>
      </c>
      <c r="D328" s="28" t="s">
        <v>89</v>
      </c>
      <c r="E328" s="28" t="s">
        <v>90</v>
      </c>
      <c r="F328" s="28">
        <v>0</v>
      </c>
      <c r="G328" s="28">
        <v>12</v>
      </c>
      <c r="H328" s="28" t="str">
        <f>IF(COUNTIFS('Question-Article-Match'!$A:$A,A328,'Question-Article-Match'!$C:$C,C328,'Question-Article-Match'!$F:$F,"direct match")&gt;0,"direct match",IF(COUNTIFS('Question-Article-Match'!$A:$A,A328,'Question-Article-Match'!$C:$C,C328,'Question-Article-Match'!$F:$F,"indirect match")&gt;0,"indirect match","no match"))</f>
        <v>no match</v>
      </c>
    </row>
    <row r="329" spans="1:8">
      <c r="A329" s="28" t="s">
        <v>44</v>
      </c>
      <c r="B329" s="28" t="s">
        <v>45</v>
      </c>
      <c r="C329" s="28">
        <v>20</v>
      </c>
      <c r="D329" s="28" t="s">
        <v>113</v>
      </c>
      <c r="E329" s="28" t="s">
        <v>114</v>
      </c>
      <c r="F329" s="28">
        <v>0</v>
      </c>
      <c r="G329" s="28">
        <v>13</v>
      </c>
      <c r="H329" s="28" t="str">
        <f>IF(COUNTIFS('Question-Article-Match'!$A:$A,A329,'Question-Article-Match'!$C:$C,C329,'Question-Article-Match'!$F:$F,"direct match")&gt;0,"direct match",IF(COUNTIFS('Question-Article-Match'!$A:$A,A329,'Question-Article-Match'!$C:$C,C329,'Question-Article-Match'!$F:$F,"indirect match")&gt;0,"indirect match","no match"))</f>
        <v>no match</v>
      </c>
    </row>
    <row r="330" spans="1:8">
      <c r="A330" s="28" t="s">
        <v>44</v>
      </c>
      <c r="B330" s="28" t="s">
        <v>45</v>
      </c>
      <c r="C330" s="28">
        <v>7</v>
      </c>
      <c r="D330" s="28" t="s">
        <v>75</v>
      </c>
      <c r="E330" s="28" t="s">
        <v>76</v>
      </c>
      <c r="F330" s="28">
        <v>0</v>
      </c>
      <c r="G330" s="28">
        <v>14</v>
      </c>
      <c r="H330" s="28" t="str">
        <f>IF(COUNTIFS('Question-Article-Match'!$A:$A,A330,'Question-Article-Match'!$C:$C,C330,'Question-Article-Match'!$F:$F,"direct match")&gt;0,"direct match",IF(COUNTIFS('Question-Article-Match'!$A:$A,A330,'Question-Article-Match'!$C:$C,C330,'Question-Article-Match'!$F:$F,"indirect match")&gt;0,"indirect match","no match"))</f>
        <v>no match</v>
      </c>
    </row>
    <row r="331" spans="1:8">
      <c r="A331" s="28" t="s">
        <v>44</v>
      </c>
      <c r="B331" s="28" t="s">
        <v>45</v>
      </c>
      <c r="C331" s="28">
        <v>9</v>
      </c>
      <c r="D331" s="28" t="s">
        <v>10</v>
      </c>
      <c r="E331" s="28" t="s">
        <v>11</v>
      </c>
      <c r="F331" s="28">
        <v>0</v>
      </c>
      <c r="G331" s="28">
        <v>15</v>
      </c>
      <c r="H331" s="28" t="str">
        <f>IF(COUNTIFS('Question-Article-Match'!$A:$A,A331,'Question-Article-Match'!$C:$C,C331,'Question-Article-Match'!$F:$F,"direct match")&gt;0,"direct match",IF(COUNTIFS('Question-Article-Match'!$A:$A,A331,'Question-Article-Match'!$C:$C,C331,'Question-Article-Match'!$F:$F,"indirect match")&gt;0,"indirect match","no match"))</f>
        <v>no match</v>
      </c>
    </row>
    <row r="332" spans="1:8">
      <c r="A332" s="28" t="s">
        <v>44</v>
      </c>
      <c r="B332" s="28" t="s">
        <v>45</v>
      </c>
      <c r="C332" s="28">
        <v>12</v>
      </c>
      <c r="D332" s="28" t="s">
        <v>20</v>
      </c>
      <c r="E332" s="28" t="s">
        <v>21</v>
      </c>
      <c r="F332" s="28">
        <v>0</v>
      </c>
      <c r="G332" s="28">
        <v>16</v>
      </c>
      <c r="H332" s="28" t="str">
        <f>IF(COUNTIFS('Question-Article-Match'!$A:$A,A332,'Question-Article-Match'!$C:$C,C332,'Question-Article-Match'!$F:$F,"direct match")&gt;0,"direct match",IF(COUNTIFS('Question-Article-Match'!$A:$A,A332,'Question-Article-Match'!$C:$C,C332,'Question-Article-Match'!$F:$F,"indirect match")&gt;0,"indirect match","no match"))</f>
        <v>no match</v>
      </c>
    </row>
    <row r="333" spans="1:8">
      <c r="A333" s="28" t="s">
        <v>44</v>
      </c>
      <c r="B333" s="28" t="s">
        <v>45</v>
      </c>
      <c r="C333" s="28">
        <v>5</v>
      </c>
      <c r="D333" s="28" t="s">
        <v>36</v>
      </c>
      <c r="E333" s="28" t="s">
        <v>37</v>
      </c>
      <c r="F333" s="28">
        <v>0</v>
      </c>
      <c r="G333" s="28">
        <v>17</v>
      </c>
      <c r="H333" s="28" t="str">
        <f>IF(COUNTIFS('Question-Article-Match'!$A:$A,A333,'Question-Article-Match'!$C:$C,C333,'Question-Article-Match'!$F:$F,"direct match")&gt;0,"direct match",IF(COUNTIFS('Question-Article-Match'!$A:$A,A333,'Question-Article-Match'!$C:$C,C333,'Question-Article-Match'!$F:$F,"indirect match")&gt;0,"indirect match","no match"))</f>
        <v>no match</v>
      </c>
    </row>
    <row r="334" spans="1:8">
      <c r="A334" s="28" t="s">
        <v>44</v>
      </c>
      <c r="B334" s="28" t="s">
        <v>45</v>
      </c>
      <c r="C334" s="28">
        <v>10</v>
      </c>
      <c r="D334" s="28" t="s">
        <v>32</v>
      </c>
      <c r="E334" s="28" t="s">
        <v>33</v>
      </c>
      <c r="F334" s="28">
        <v>0</v>
      </c>
      <c r="G334" s="28">
        <v>18</v>
      </c>
      <c r="H334" s="28" t="str">
        <f>IF(COUNTIFS('Question-Article-Match'!$A:$A,A334,'Question-Article-Match'!$C:$C,C334,'Question-Article-Match'!$F:$F,"direct match")&gt;0,"direct match",IF(COUNTIFS('Question-Article-Match'!$A:$A,A334,'Question-Article-Match'!$C:$C,C334,'Question-Article-Match'!$F:$F,"indirect match")&gt;0,"indirect match","no match"))</f>
        <v>no match</v>
      </c>
    </row>
    <row r="335" spans="1:8">
      <c r="A335" s="28" t="s">
        <v>44</v>
      </c>
      <c r="B335" s="28" t="s">
        <v>45</v>
      </c>
      <c r="C335" s="28">
        <v>8</v>
      </c>
      <c r="D335" s="28" t="s">
        <v>40</v>
      </c>
      <c r="E335" s="28" t="s">
        <v>41</v>
      </c>
      <c r="F335" s="28">
        <v>0</v>
      </c>
      <c r="G335" s="28">
        <v>19</v>
      </c>
      <c r="H335" s="28" t="str">
        <f>IF(COUNTIFS('Question-Article-Match'!$A:$A,A335,'Question-Article-Match'!$C:$C,C335,'Question-Article-Match'!$F:$F,"direct match")&gt;0,"direct match",IF(COUNTIFS('Question-Article-Match'!$A:$A,A335,'Question-Article-Match'!$C:$C,C335,'Question-Article-Match'!$F:$F,"indirect match")&gt;0,"indirect match","no match"))</f>
        <v>no match</v>
      </c>
    </row>
    <row r="336" spans="1:8">
      <c r="A336" s="28" t="s">
        <v>44</v>
      </c>
      <c r="B336" s="28" t="s">
        <v>45</v>
      </c>
      <c r="C336" s="28">
        <v>4</v>
      </c>
      <c r="D336" s="28" t="s">
        <v>64</v>
      </c>
      <c r="E336" s="28" t="s">
        <v>65</v>
      </c>
      <c r="F336" s="28">
        <v>0</v>
      </c>
      <c r="G336" s="28">
        <v>20</v>
      </c>
      <c r="H336" s="28" t="str">
        <f>IF(COUNTIFS('Question-Article-Match'!$A:$A,A336,'Question-Article-Match'!$C:$C,C336,'Question-Article-Match'!$F:$F,"direct match")&gt;0,"direct match",IF(COUNTIFS('Question-Article-Match'!$A:$A,A336,'Question-Article-Match'!$C:$C,C336,'Question-Article-Match'!$F:$F,"indirect match")&gt;0,"indirect match","no match"))</f>
        <v>no match</v>
      </c>
    </row>
    <row r="337" spans="1:8">
      <c r="A337" s="28" t="s">
        <v>44</v>
      </c>
      <c r="B337" s="28" t="s">
        <v>45</v>
      </c>
      <c r="C337" s="28">
        <v>6</v>
      </c>
      <c r="D337" s="28" t="s">
        <v>28</v>
      </c>
      <c r="E337" s="28" t="s">
        <v>29</v>
      </c>
      <c r="F337" s="28">
        <v>0</v>
      </c>
      <c r="G337" s="28">
        <v>21</v>
      </c>
      <c r="H337" s="28" t="str">
        <f>IF(COUNTIFS('Question-Article-Match'!$A:$A,A337,'Question-Article-Match'!$C:$C,C337,'Question-Article-Match'!$F:$F,"direct match")&gt;0,"direct match",IF(COUNTIFS('Question-Article-Match'!$A:$A,A337,'Question-Article-Match'!$C:$C,C337,'Question-Article-Match'!$F:$F,"indirect match")&gt;0,"indirect match","no match"))</f>
        <v>no match</v>
      </c>
    </row>
  </sheetData>
  <autoFilter ref="A1:H33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63"/>
  <sheetViews>
    <sheetView workbookViewId="0"/>
  </sheetViews>
  <sheetFormatPr defaultRowHeight="14"/>
  <cols>
    <col min="1" max="1" width="14" customWidth="1"/>
    <col min="2" max="10" width="13" customWidth="1"/>
    <col min="11" max="18" width="12" customWidth="1"/>
  </cols>
  <sheetData>
    <row r="1" spans="1:18" ht="15.5" customHeight="1">
      <c r="A1" s="29" t="s">
        <v>192</v>
      </c>
    </row>
    <row r="3" spans="1:18" ht="45" customHeight="1">
      <c r="A3" s="30" t="s">
        <v>193</v>
      </c>
      <c r="B3" s="30" t="s">
        <v>194</v>
      </c>
      <c r="C3" s="30" t="s">
        <v>195</v>
      </c>
      <c r="D3" s="30" t="s">
        <v>196</v>
      </c>
      <c r="E3" s="30" t="s">
        <v>197</v>
      </c>
      <c r="F3" s="30" t="s">
        <v>198</v>
      </c>
      <c r="G3" s="30" t="s">
        <v>199</v>
      </c>
      <c r="H3" s="30" t="s">
        <v>200</v>
      </c>
      <c r="I3" s="30" t="s">
        <v>201</v>
      </c>
    </row>
    <row r="4" spans="1:18">
      <c r="A4" s="31" t="s">
        <v>202</v>
      </c>
      <c r="B4" s="32">
        <f>AVERAGEIFS($I$16:$I$63,$A$16:$A$63,$A4,$C$16:$C$63,"Yes")</f>
        <v>0.59404761904761905</v>
      </c>
      <c r="C4" s="32">
        <f>AVERAGEIFS($J$16:$J$63,$A$16:$A$63,$A4,$C$16:$C$63,"Yes")</f>
        <v>0.69982993197278898</v>
      </c>
      <c r="D4" s="32">
        <f>AVERAGEIFS($M$16:$M$63,$A$16:$A$63,$A4,$C$16:$C$63,"Yes")</f>
        <v>0.58588435374149661</v>
      </c>
      <c r="E4" s="32">
        <f>AVERAGEIFS($N$16:$N$63,$A$16:$A$63,$A4,$C$16:$C$63,"Yes")</f>
        <v>0.72023809523809512</v>
      </c>
      <c r="F4" s="32">
        <f>AVERAGEIFS($Q$16:$Q$63,$A$16:$A$63,$A4,$C$16:$C$63,"Yes")</f>
        <v>0.58829365079365081</v>
      </c>
      <c r="G4" s="32">
        <f>AVERAGEIFS($R$16:$R$63,$A$16:$A$63,$A4,$C$16:$C$63,"Yes")</f>
        <v>0.75595238095238082</v>
      </c>
      <c r="H4" s="33">
        <f>AVERAGEIFS($F$16:$F$63,$A$16:$A$63,$A4,$C$16:$C$63,"Yes")</f>
        <v>0.80952142857142861</v>
      </c>
      <c r="I4" s="34">
        <f>AVERAGEIFS($G$16:$G$63,$A$16:$A$63,$A4,$C$16:$C$63,"No")</f>
        <v>1</v>
      </c>
      <c r="J4" s="35"/>
      <c r="K4" s="35"/>
      <c r="L4" s="35"/>
      <c r="M4" s="35"/>
      <c r="N4" s="35"/>
      <c r="O4" s="35"/>
      <c r="P4" s="35"/>
      <c r="Q4" s="35"/>
      <c r="R4" s="35"/>
    </row>
    <row r="5" spans="1:18">
      <c r="A5" s="31" t="s">
        <v>203</v>
      </c>
      <c r="B5" s="32">
        <f>AVERAGEIFS($I$16:$I$63,$A$16:$A$63,$A5,$C$16:$C$63,"Yes")</f>
        <v>0.3714285714285715</v>
      </c>
      <c r="C5" s="32">
        <f>AVERAGEIFS($J$16:$J$63,$A$16:$A$63,$A5,$C$16:$C$63,"Yes")</f>
        <v>0.73724489795918369</v>
      </c>
      <c r="D5" s="32">
        <f>AVERAGEIFS($M$16:$M$63,$A$16:$A$63,$A5,$C$16:$C$63,"Yes")</f>
        <v>0.29285714285714282</v>
      </c>
      <c r="E5" s="32">
        <f>AVERAGEIFS($N$16:$N$63,$A$16:$A$63,$A5,$C$16:$C$63,"Yes")</f>
        <v>0.74744897959183665</v>
      </c>
      <c r="F5" s="32">
        <f>AVERAGEIFS($Q$16:$Q$63,$A$16:$A$63,$A5,$C$16:$C$63,"Yes")</f>
        <v>0.28117913832199543</v>
      </c>
      <c r="G5" s="32">
        <f>AVERAGEIFS($R$16:$R$63,$A$16:$A$63,$A5,$C$16:$C$63,"Yes")</f>
        <v>0.83078231292517002</v>
      </c>
      <c r="H5" s="33">
        <f>AVERAGEIFS($F$16:$F$63,$A$16:$A$63,$A5,$C$16:$C$63,"Yes")</f>
        <v>0.75</v>
      </c>
      <c r="I5" s="34">
        <f>AVERAGEIFS($G$16:$G$63,$A$16:$A$63,$A5,$C$16:$C$63,"No")</f>
        <v>4.5</v>
      </c>
      <c r="J5" s="35"/>
      <c r="K5" s="35"/>
      <c r="L5" s="35"/>
      <c r="M5" s="35"/>
      <c r="N5" s="35"/>
      <c r="O5" s="35"/>
      <c r="P5" s="35"/>
      <c r="Q5" s="35"/>
      <c r="R5" s="35"/>
    </row>
    <row r="6" spans="1:18">
      <c r="A6" s="31" t="s">
        <v>204</v>
      </c>
      <c r="B6" s="32">
        <f>AVERAGEIFS($I$16:$I$63,$A$16:$A$63,$A6,$C$16:$C$63,"Yes")</f>
        <v>0.40000000000000008</v>
      </c>
      <c r="C6" s="32">
        <f>AVERAGEIFS($J$16:$J$63,$A$16:$A$63,$A6,$C$16:$C$63,"Yes")</f>
        <v>0.75935374149659862</v>
      </c>
      <c r="D6" s="32">
        <f>AVERAGEIFS($M$16:$M$63,$A$16:$A$63,$A6,$C$16:$C$63,"Yes")</f>
        <v>0.32346938775510203</v>
      </c>
      <c r="E6" s="32">
        <f>AVERAGEIFS($N$16:$N$63,$A$16:$A$63,$A6,$C$16:$C$63,"Yes")</f>
        <v>0.79336734693877542</v>
      </c>
      <c r="F6" s="32">
        <f>AVERAGEIFS($Q$16:$Q$63,$A$16:$A$63,$A6,$C$16:$C$63,"Yes")</f>
        <v>0.2944444444444444</v>
      </c>
      <c r="G6" s="32">
        <f>AVERAGEIFS($R$16:$R$63,$A$16:$A$63,$A6,$C$16:$C$63,"Yes")</f>
        <v>0.88690476190476186</v>
      </c>
      <c r="H6" s="33">
        <f>AVERAGEIFS($F$16:$F$63,$A$16:$A$63,$A6,$C$16:$C$63,"Yes")</f>
        <v>0.78809285714285715</v>
      </c>
      <c r="I6" s="34">
        <f>AVERAGEIFS($G$16:$G$63,$A$16:$A$63,$A6,$C$16:$C$63,"No")</f>
        <v>4.5</v>
      </c>
      <c r="J6" s="35"/>
      <c r="K6" s="35"/>
      <c r="L6" s="35"/>
      <c r="M6" s="35"/>
      <c r="N6" s="35"/>
      <c r="O6" s="35"/>
      <c r="P6" s="35"/>
      <c r="Q6" s="35"/>
      <c r="R6" s="35"/>
    </row>
    <row r="8" spans="1:18">
      <c r="A8" s="36" t="s">
        <v>205</v>
      </c>
    </row>
    <row r="9" spans="1:18">
      <c r="A9" s="37" t="s">
        <v>206</v>
      </c>
    </row>
    <row r="10" spans="1:18">
      <c r="A10" s="37" t="s">
        <v>207</v>
      </c>
    </row>
    <row r="11" spans="1:18">
      <c r="A11" s="37" t="s">
        <v>208</v>
      </c>
    </row>
    <row r="12" spans="1:18">
      <c r="A12" s="37" t="s">
        <v>209</v>
      </c>
    </row>
    <row r="13" spans="1:18">
      <c r="A13" s="37" t="s">
        <v>210</v>
      </c>
    </row>
    <row r="15" spans="1:18">
      <c r="A15" s="38" t="s">
        <v>193</v>
      </c>
      <c r="B15" s="38" t="s">
        <v>0</v>
      </c>
      <c r="C15" s="38" t="s">
        <v>211</v>
      </c>
      <c r="D15" s="38" t="s">
        <v>212</v>
      </c>
      <c r="E15" s="38" t="s">
        <v>213</v>
      </c>
      <c r="F15" s="38" t="s">
        <v>214</v>
      </c>
      <c r="G15" s="38" t="s">
        <v>215</v>
      </c>
      <c r="H15" s="38" t="s">
        <v>216</v>
      </c>
      <c r="I15" s="38" t="s">
        <v>194</v>
      </c>
      <c r="J15" s="38" t="s">
        <v>195</v>
      </c>
      <c r="K15" s="38" t="s">
        <v>217</v>
      </c>
      <c r="L15" s="38" t="s">
        <v>218</v>
      </c>
      <c r="M15" s="38" t="s">
        <v>196</v>
      </c>
      <c r="N15" s="38" t="s">
        <v>197</v>
      </c>
      <c r="O15" s="38" t="s">
        <v>219</v>
      </c>
      <c r="P15" s="38" t="s">
        <v>220</v>
      </c>
      <c r="Q15" s="38" t="s">
        <v>198</v>
      </c>
      <c r="R15" s="38" t="s">
        <v>199</v>
      </c>
    </row>
    <row r="16" spans="1:18">
      <c r="A16" s="35" t="s">
        <v>202</v>
      </c>
      <c r="B16" s="35" t="s">
        <v>117</v>
      </c>
      <c r="C16" s="35" t="s">
        <v>221</v>
      </c>
      <c r="D16" s="35">
        <v>3</v>
      </c>
      <c r="E16" s="35" t="s">
        <v>222</v>
      </c>
      <c r="F16" s="35">
        <v>1</v>
      </c>
      <c r="G16" s="35">
        <v>2</v>
      </c>
      <c r="H16" s="35">
        <v>2</v>
      </c>
      <c r="I16" s="32">
        <f t="shared" ref="I16:I63" si="0">IF(G16=0,0,H16/G16)</f>
        <v>1</v>
      </c>
      <c r="J16" s="32">
        <f t="shared" ref="J16:J63" si="1">IF(D16=0,"",H16/D16)</f>
        <v>0.66666666666666663</v>
      </c>
      <c r="K16" s="35">
        <v>2</v>
      </c>
      <c r="L16" s="35">
        <v>2</v>
      </c>
      <c r="M16" s="32">
        <f t="shared" ref="M16:M63" si="2">IF(K16=0,0,L16/K16)</f>
        <v>1</v>
      </c>
      <c r="N16" s="32">
        <f t="shared" ref="N16:N63" si="3">IF(D16=0,"",L16/D16)</f>
        <v>0.66666666666666663</v>
      </c>
      <c r="O16" s="35">
        <v>2</v>
      </c>
      <c r="P16" s="35">
        <v>2</v>
      </c>
      <c r="Q16" s="32">
        <f t="shared" ref="Q16:Q63" si="4">IF(O16=0,0,P16/O16)</f>
        <v>1</v>
      </c>
      <c r="R16" s="32">
        <f t="shared" ref="R16:R63" si="5">IF(D16=0,"",P16/D16)</f>
        <v>0.66666666666666663</v>
      </c>
    </row>
    <row r="17" spans="1:18">
      <c r="A17" s="35" t="s">
        <v>202</v>
      </c>
      <c r="B17" s="35" t="s">
        <v>120</v>
      </c>
      <c r="C17" s="35" t="s">
        <v>221</v>
      </c>
      <c r="D17" s="35">
        <v>2</v>
      </c>
      <c r="E17" s="35" t="s">
        <v>223</v>
      </c>
      <c r="F17" s="35">
        <v>1</v>
      </c>
      <c r="G17" s="35">
        <v>3</v>
      </c>
      <c r="H17" s="35">
        <v>2</v>
      </c>
      <c r="I17" s="32">
        <f t="shared" si="0"/>
        <v>0.66666666666666663</v>
      </c>
      <c r="J17" s="32">
        <f t="shared" si="1"/>
        <v>1</v>
      </c>
      <c r="K17" s="35">
        <v>3</v>
      </c>
      <c r="L17" s="35">
        <v>2</v>
      </c>
      <c r="M17" s="32">
        <f t="shared" si="2"/>
        <v>0.66666666666666663</v>
      </c>
      <c r="N17" s="32">
        <f t="shared" si="3"/>
        <v>1</v>
      </c>
      <c r="O17" s="35">
        <v>3</v>
      </c>
      <c r="P17" s="35">
        <v>2</v>
      </c>
      <c r="Q17" s="32">
        <f t="shared" si="4"/>
        <v>0.66666666666666663</v>
      </c>
      <c r="R17" s="32">
        <f t="shared" si="5"/>
        <v>1</v>
      </c>
    </row>
    <row r="18" spans="1:18">
      <c r="A18" s="35" t="s">
        <v>202</v>
      </c>
      <c r="B18" s="35" t="s">
        <v>123</v>
      </c>
      <c r="C18" s="35" t="s">
        <v>221</v>
      </c>
      <c r="D18" s="35">
        <v>3</v>
      </c>
      <c r="E18" s="35" t="s">
        <v>224</v>
      </c>
      <c r="F18" s="35">
        <v>0</v>
      </c>
      <c r="G18" s="35">
        <v>3</v>
      </c>
      <c r="H18" s="35">
        <v>0</v>
      </c>
      <c r="I18" s="32">
        <f t="shared" si="0"/>
        <v>0</v>
      </c>
      <c r="J18" s="32">
        <f t="shared" si="1"/>
        <v>0</v>
      </c>
      <c r="K18" s="35">
        <v>3</v>
      </c>
      <c r="L18" s="35">
        <v>0</v>
      </c>
      <c r="M18" s="32">
        <f t="shared" si="2"/>
        <v>0</v>
      </c>
      <c r="N18" s="32">
        <f t="shared" si="3"/>
        <v>0</v>
      </c>
      <c r="O18" s="35">
        <v>3</v>
      </c>
      <c r="P18" s="35">
        <v>0</v>
      </c>
      <c r="Q18" s="32">
        <f t="shared" si="4"/>
        <v>0</v>
      </c>
      <c r="R18" s="32">
        <f t="shared" si="5"/>
        <v>0</v>
      </c>
    </row>
    <row r="19" spans="1:18">
      <c r="A19" s="35" t="s">
        <v>202</v>
      </c>
      <c r="B19" s="35" t="s">
        <v>126</v>
      </c>
      <c r="C19" s="35" t="s">
        <v>221</v>
      </c>
      <c r="D19" s="35">
        <v>2</v>
      </c>
      <c r="E19" s="35" t="s">
        <v>225</v>
      </c>
      <c r="F19" s="35">
        <v>1</v>
      </c>
      <c r="G19" s="35">
        <v>4</v>
      </c>
      <c r="H19" s="35">
        <v>2</v>
      </c>
      <c r="I19" s="32">
        <f t="shared" si="0"/>
        <v>0.5</v>
      </c>
      <c r="J19" s="32">
        <f t="shared" si="1"/>
        <v>1</v>
      </c>
      <c r="K19" s="35">
        <v>4</v>
      </c>
      <c r="L19" s="35">
        <v>2</v>
      </c>
      <c r="M19" s="32">
        <f t="shared" si="2"/>
        <v>0.5</v>
      </c>
      <c r="N19" s="32">
        <f t="shared" si="3"/>
        <v>1</v>
      </c>
      <c r="O19" s="35">
        <v>4</v>
      </c>
      <c r="P19" s="35">
        <v>2</v>
      </c>
      <c r="Q19" s="32">
        <f t="shared" si="4"/>
        <v>0.5</v>
      </c>
      <c r="R19" s="32">
        <f t="shared" si="5"/>
        <v>1</v>
      </c>
    </row>
    <row r="20" spans="1:18">
      <c r="A20" s="35" t="s">
        <v>202</v>
      </c>
      <c r="B20" s="35" t="s">
        <v>129</v>
      </c>
      <c r="C20" s="35" t="s">
        <v>221</v>
      </c>
      <c r="D20" s="35">
        <v>4</v>
      </c>
      <c r="E20" s="35" t="s">
        <v>226</v>
      </c>
      <c r="F20" s="35">
        <v>1</v>
      </c>
      <c r="G20" s="35">
        <v>4</v>
      </c>
      <c r="H20" s="35">
        <v>3</v>
      </c>
      <c r="I20" s="32">
        <f t="shared" si="0"/>
        <v>0.75</v>
      </c>
      <c r="J20" s="32">
        <f t="shared" si="1"/>
        <v>0.75</v>
      </c>
      <c r="K20" s="35">
        <v>4</v>
      </c>
      <c r="L20" s="35">
        <v>3</v>
      </c>
      <c r="M20" s="32">
        <f t="shared" si="2"/>
        <v>0.75</v>
      </c>
      <c r="N20" s="32">
        <f t="shared" si="3"/>
        <v>0.75</v>
      </c>
      <c r="O20" s="35">
        <v>4</v>
      </c>
      <c r="P20" s="35">
        <v>3</v>
      </c>
      <c r="Q20" s="32">
        <f t="shared" si="4"/>
        <v>0.75</v>
      </c>
      <c r="R20" s="32">
        <f t="shared" si="5"/>
        <v>0.75</v>
      </c>
    </row>
    <row r="21" spans="1:18">
      <c r="A21" s="35" t="s">
        <v>202</v>
      </c>
      <c r="B21" s="35" t="s">
        <v>132</v>
      </c>
      <c r="C21" s="35" t="s">
        <v>221</v>
      </c>
      <c r="D21" s="35">
        <v>7</v>
      </c>
      <c r="E21" s="35" t="s">
        <v>227</v>
      </c>
      <c r="F21" s="35">
        <v>1</v>
      </c>
      <c r="G21" s="35">
        <v>5</v>
      </c>
      <c r="H21" s="35">
        <v>5</v>
      </c>
      <c r="I21" s="32">
        <f t="shared" si="0"/>
        <v>1</v>
      </c>
      <c r="J21" s="32">
        <f t="shared" si="1"/>
        <v>0.7142857142857143</v>
      </c>
      <c r="K21" s="35">
        <v>7</v>
      </c>
      <c r="L21" s="35">
        <v>7</v>
      </c>
      <c r="M21" s="32">
        <f t="shared" si="2"/>
        <v>1</v>
      </c>
      <c r="N21" s="32">
        <f t="shared" si="3"/>
        <v>1</v>
      </c>
      <c r="O21" s="35">
        <v>8</v>
      </c>
      <c r="P21" s="35">
        <v>7</v>
      </c>
      <c r="Q21" s="32">
        <f t="shared" si="4"/>
        <v>0.875</v>
      </c>
      <c r="R21" s="32">
        <f t="shared" si="5"/>
        <v>1</v>
      </c>
    </row>
    <row r="22" spans="1:18">
      <c r="A22" s="35" t="s">
        <v>202</v>
      </c>
      <c r="B22" s="35" t="s">
        <v>135</v>
      </c>
      <c r="C22" s="35" t="s">
        <v>221</v>
      </c>
      <c r="D22" s="35">
        <v>1</v>
      </c>
      <c r="E22" s="35" t="s">
        <v>228</v>
      </c>
      <c r="F22" s="35">
        <v>0</v>
      </c>
      <c r="G22" s="35">
        <v>3</v>
      </c>
      <c r="H22" s="35">
        <v>0</v>
      </c>
      <c r="I22" s="32">
        <f t="shared" si="0"/>
        <v>0</v>
      </c>
      <c r="J22" s="32">
        <f t="shared" si="1"/>
        <v>0</v>
      </c>
      <c r="K22" s="35">
        <v>3</v>
      </c>
      <c r="L22" s="35">
        <v>0</v>
      </c>
      <c r="M22" s="32">
        <f t="shared" si="2"/>
        <v>0</v>
      </c>
      <c r="N22" s="32">
        <f t="shared" si="3"/>
        <v>0</v>
      </c>
      <c r="O22" s="35">
        <v>3</v>
      </c>
      <c r="P22" s="35">
        <v>0</v>
      </c>
      <c r="Q22" s="32">
        <f t="shared" si="4"/>
        <v>0</v>
      </c>
      <c r="R22" s="32">
        <f t="shared" si="5"/>
        <v>0</v>
      </c>
    </row>
    <row r="23" spans="1:18">
      <c r="A23" s="35" t="s">
        <v>202</v>
      </c>
      <c r="B23" s="35" t="s">
        <v>138</v>
      </c>
      <c r="C23" s="35" t="s">
        <v>221</v>
      </c>
      <c r="D23" s="35">
        <v>4</v>
      </c>
      <c r="E23" s="35" t="s">
        <v>229</v>
      </c>
      <c r="F23" s="35">
        <v>0.33329999999999999</v>
      </c>
      <c r="G23" s="35">
        <v>5</v>
      </c>
      <c r="H23" s="35">
        <v>2</v>
      </c>
      <c r="I23" s="32">
        <f t="shared" si="0"/>
        <v>0.4</v>
      </c>
      <c r="J23" s="32">
        <f t="shared" si="1"/>
        <v>0.5</v>
      </c>
      <c r="K23" s="35">
        <v>7</v>
      </c>
      <c r="L23" s="35">
        <v>2</v>
      </c>
      <c r="M23" s="32">
        <f t="shared" si="2"/>
        <v>0.2857142857142857</v>
      </c>
      <c r="N23" s="32">
        <f t="shared" si="3"/>
        <v>0.5</v>
      </c>
      <c r="O23" s="35">
        <v>9</v>
      </c>
      <c r="P23" s="35">
        <v>4</v>
      </c>
      <c r="Q23" s="32">
        <f t="shared" si="4"/>
        <v>0.44444444444444442</v>
      </c>
      <c r="R23" s="32">
        <f t="shared" si="5"/>
        <v>1</v>
      </c>
    </row>
    <row r="24" spans="1:18">
      <c r="A24" s="35" t="s">
        <v>202</v>
      </c>
      <c r="B24" s="35" t="s">
        <v>141</v>
      </c>
      <c r="C24" s="35" t="s">
        <v>221</v>
      </c>
      <c r="D24" s="35">
        <v>4</v>
      </c>
      <c r="E24" s="35" t="s">
        <v>230</v>
      </c>
      <c r="F24" s="35">
        <v>1</v>
      </c>
      <c r="G24" s="35">
        <v>4</v>
      </c>
      <c r="H24" s="35">
        <v>4</v>
      </c>
      <c r="I24" s="32">
        <f t="shared" si="0"/>
        <v>1</v>
      </c>
      <c r="J24" s="32">
        <f t="shared" si="1"/>
        <v>1</v>
      </c>
      <c r="K24" s="35">
        <v>4</v>
      </c>
      <c r="L24" s="35">
        <v>4</v>
      </c>
      <c r="M24" s="32">
        <f t="shared" si="2"/>
        <v>1</v>
      </c>
      <c r="N24" s="32">
        <f t="shared" si="3"/>
        <v>1</v>
      </c>
      <c r="O24" s="35">
        <v>4</v>
      </c>
      <c r="P24" s="35">
        <v>4</v>
      </c>
      <c r="Q24" s="32">
        <f t="shared" si="4"/>
        <v>1</v>
      </c>
      <c r="R24" s="32">
        <f t="shared" si="5"/>
        <v>1</v>
      </c>
    </row>
    <row r="25" spans="1:18">
      <c r="A25" s="35" t="s">
        <v>202</v>
      </c>
      <c r="B25" s="35" t="s">
        <v>144</v>
      </c>
      <c r="C25" s="35" t="s">
        <v>221</v>
      </c>
      <c r="D25" s="35">
        <v>1</v>
      </c>
      <c r="E25" s="35" t="s">
        <v>231</v>
      </c>
      <c r="F25" s="35">
        <v>1</v>
      </c>
      <c r="G25" s="35">
        <v>2</v>
      </c>
      <c r="H25" s="35">
        <v>1</v>
      </c>
      <c r="I25" s="32">
        <f t="shared" si="0"/>
        <v>0.5</v>
      </c>
      <c r="J25" s="32">
        <f t="shared" si="1"/>
        <v>1</v>
      </c>
      <c r="K25" s="35">
        <v>2</v>
      </c>
      <c r="L25" s="35">
        <v>1</v>
      </c>
      <c r="M25" s="32">
        <f t="shared" si="2"/>
        <v>0.5</v>
      </c>
      <c r="N25" s="32">
        <f t="shared" si="3"/>
        <v>1</v>
      </c>
      <c r="O25" s="35">
        <v>2</v>
      </c>
      <c r="P25" s="35">
        <v>1</v>
      </c>
      <c r="Q25" s="32">
        <f t="shared" si="4"/>
        <v>0.5</v>
      </c>
      <c r="R25" s="32">
        <f t="shared" si="5"/>
        <v>1</v>
      </c>
    </row>
    <row r="26" spans="1:18">
      <c r="A26" s="35" t="s">
        <v>202</v>
      </c>
      <c r="B26" s="35" t="s">
        <v>147</v>
      </c>
      <c r="C26" s="35" t="s">
        <v>232</v>
      </c>
      <c r="D26" s="35">
        <v>0</v>
      </c>
      <c r="E26" s="35" t="s">
        <v>233</v>
      </c>
      <c r="F26" s="35">
        <v>0</v>
      </c>
      <c r="G26" s="35">
        <v>2</v>
      </c>
      <c r="H26" s="35">
        <v>0</v>
      </c>
      <c r="I26" s="32">
        <f t="shared" si="0"/>
        <v>0</v>
      </c>
      <c r="J26" s="32" t="str">
        <f t="shared" si="1"/>
        <v/>
      </c>
      <c r="K26" s="35">
        <v>2</v>
      </c>
      <c r="L26" s="35">
        <v>0</v>
      </c>
      <c r="M26" s="32">
        <f t="shared" si="2"/>
        <v>0</v>
      </c>
      <c r="N26" s="32" t="str">
        <f t="shared" si="3"/>
        <v/>
      </c>
      <c r="O26" s="35">
        <v>2</v>
      </c>
      <c r="P26" s="35">
        <v>0</v>
      </c>
      <c r="Q26" s="32">
        <f t="shared" si="4"/>
        <v>0</v>
      </c>
      <c r="R26" s="32" t="str">
        <f t="shared" si="5"/>
        <v/>
      </c>
    </row>
    <row r="27" spans="1:18">
      <c r="A27" s="35" t="s">
        <v>202</v>
      </c>
      <c r="B27" s="35" t="s">
        <v>150</v>
      </c>
      <c r="C27" s="35" t="s">
        <v>232</v>
      </c>
      <c r="D27" s="35">
        <v>0</v>
      </c>
      <c r="E27" s="35" t="s">
        <v>234</v>
      </c>
      <c r="F27" s="35">
        <v>0</v>
      </c>
      <c r="G27" s="35">
        <v>0</v>
      </c>
      <c r="H27" s="35">
        <v>0</v>
      </c>
      <c r="I27" s="32">
        <f t="shared" si="0"/>
        <v>0</v>
      </c>
      <c r="J27" s="32" t="str">
        <f t="shared" si="1"/>
        <v/>
      </c>
      <c r="K27" s="35">
        <v>0</v>
      </c>
      <c r="L27" s="35">
        <v>0</v>
      </c>
      <c r="M27" s="32">
        <f t="shared" si="2"/>
        <v>0</v>
      </c>
      <c r="N27" s="32" t="str">
        <f t="shared" si="3"/>
        <v/>
      </c>
      <c r="O27" s="35">
        <v>0</v>
      </c>
      <c r="P27" s="35">
        <v>0</v>
      </c>
      <c r="Q27" s="32">
        <f t="shared" si="4"/>
        <v>0</v>
      </c>
      <c r="R27" s="32" t="str">
        <f t="shared" si="5"/>
        <v/>
      </c>
    </row>
    <row r="28" spans="1:18">
      <c r="A28" s="35" t="s">
        <v>202</v>
      </c>
      <c r="B28" s="35" t="s">
        <v>8</v>
      </c>
      <c r="C28" s="35" t="s">
        <v>221</v>
      </c>
      <c r="D28" s="35">
        <v>1</v>
      </c>
      <c r="E28" s="35" t="s">
        <v>235</v>
      </c>
      <c r="F28" s="35">
        <v>1</v>
      </c>
      <c r="G28" s="35">
        <v>1</v>
      </c>
      <c r="H28" s="35">
        <v>1</v>
      </c>
      <c r="I28" s="32">
        <f t="shared" si="0"/>
        <v>1</v>
      </c>
      <c r="J28" s="32">
        <f t="shared" si="1"/>
        <v>1</v>
      </c>
      <c r="K28" s="35">
        <v>1</v>
      </c>
      <c r="L28" s="35">
        <v>1</v>
      </c>
      <c r="M28" s="32">
        <f t="shared" si="2"/>
        <v>1</v>
      </c>
      <c r="N28" s="32">
        <f t="shared" si="3"/>
        <v>1</v>
      </c>
      <c r="O28" s="35">
        <v>1</v>
      </c>
      <c r="P28" s="35">
        <v>1</v>
      </c>
      <c r="Q28" s="32">
        <f t="shared" si="4"/>
        <v>1</v>
      </c>
      <c r="R28" s="32">
        <f t="shared" si="5"/>
        <v>1</v>
      </c>
    </row>
    <row r="29" spans="1:18">
      <c r="A29" s="35" t="s">
        <v>202</v>
      </c>
      <c r="B29" s="35" t="s">
        <v>30</v>
      </c>
      <c r="C29" s="35" t="s">
        <v>221</v>
      </c>
      <c r="D29" s="35">
        <v>1</v>
      </c>
      <c r="E29" s="35" t="s">
        <v>233</v>
      </c>
      <c r="F29" s="35">
        <v>1</v>
      </c>
      <c r="G29" s="35">
        <v>2</v>
      </c>
      <c r="H29" s="35">
        <v>1</v>
      </c>
      <c r="I29" s="32">
        <f t="shared" si="0"/>
        <v>0.5</v>
      </c>
      <c r="J29" s="32">
        <f t="shared" si="1"/>
        <v>1</v>
      </c>
      <c r="K29" s="35">
        <v>2</v>
      </c>
      <c r="L29" s="35">
        <v>1</v>
      </c>
      <c r="M29" s="32">
        <f t="shared" si="2"/>
        <v>0.5</v>
      </c>
      <c r="N29" s="32">
        <f t="shared" si="3"/>
        <v>1</v>
      </c>
      <c r="O29" s="35">
        <v>2</v>
      </c>
      <c r="P29" s="35">
        <v>1</v>
      </c>
      <c r="Q29" s="32">
        <f t="shared" si="4"/>
        <v>0.5</v>
      </c>
      <c r="R29" s="32">
        <f t="shared" si="5"/>
        <v>1</v>
      </c>
    </row>
    <row r="30" spans="1:18">
      <c r="A30" s="35" t="s">
        <v>202</v>
      </c>
      <c r="B30" s="35" t="s">
        <v>38</v>
      </c>
      <c r="C30" s="35" t="s">
        <v>221</v>
      </c>
      <c r="D30" s="35">
        <v>2</v>
      </c>
      <c r="E30" s="35" t="s">
        <v>236</v>
      </c>
      <c r="F30" s="35">
        <v>1</v>
      </c>
      <c r="G30" s="35">
        <v>2</v>
      </c>
      <c r="H30" s="35">
        <v>1</v>
      </c>
      <c r="I30" s="32">
        <f t="shared" si="0"/>
        <v>0.5</v>
      </c>
      <c r="J30" s="32">
        <f t="shared" si="1"/>
        <v>0.5</v>
      </c>
      <c r="K30" s="35">
        <v>2</v>
      </c>
      <c r="L30" s="35">
        <v>1</v>
      </c>
      <c r="M30" s="32">
        <f t="shared" si="2"/>
        <v>0.5</v>
      </c>
      <c r="N30" s="32">
        <f t="shared" si="3"/>
        <v>0.5</v>
      </c>
      <c r="O30" s="35">
        <v>2</v>
      </c>
      <c r="P30" s="35">
        <v>1</v>
      </c>
      <c r="Q30" s="32">
        <f t="shared" si="4"/>
        <v>0.5</v>
      </c>
      <c r="R30" s="32">
        <f t="shared" si="5"/>
        <v>0.5</v>
      </c>
    </row>
    <row r="31" spans="1:18">
      <c r="A31" s="35" t="s">
        <v>202</v>
      </c>
      <c r="B31" s="35" t="s">
        <v>44</v>
      </c>
      <c r="C31" s="35" t="s">
        <v>221</v>
      </c>
      <c r="D31" s="35">
        <v>3</v>
      </c>
      <c r="E31" s="35" t="s">
        <v>237</v>
      </c>
      <c r="F31" s="35">
        <v>1</v>
      </c>
      <c r="G31" s="35">
        <v>4</v>
      </c>
      <c r="H31" s="35">
        <v>2</v>
      </c>
      <c r="I31" s="32">
        <f t="shared" si="0"/>
        <v>0.5</v>
      </c>
      <c r="J31" s="32">
        <f t="shared" si="1"/>
        <v>0.66666666666666663</v>
      </c>
      <c r="K31" s="35">
        <v>4</v>
      </c>
      <c r="L31" s="35">
        <v>2</v>
      </c>
      <c r="M31" s="32">
        <f t="shared" si="2"/>
        <v>0.5</v>
      </c>
      <c r="N31" s="32">
        <f t="shared" si="3"/>
        <v>0.66666666666666663</v>
      </c>
      <c r="O31" s="35">
        <v>4</v>
      </c>
      <c r="P31" s="35">
        <v>2</v>
      </c>
      <c r="Q31" s="32">
        <f t="shared" si="4"/>
        <v>0.5</v>
      </c>
      <c r="R31" s="32">
        <f t="shared" si="5"/>
        <v>0.66666666666666663</v>
      </c>
    </row>
    <row r="32" spans="1:18">
      <c r="A32" s="35" t="s">
        <v>203</v>
      </c>
      <c r="B32" s="35" t="s">
        <v>117</v>
      </c>
      <c r="C32" s="35" t="s">
        <v>221</v>
      </c>
      <c r="D32" s="35">
        <v>3</v>
      </c>
      <c r="E32" s="35" t="s">
        <v>238</v>
      </c>
      <c r="F32" s="35">
        <v>1</v>
      </c>
      <c r="G32" s="35">
        <v>5</v>
      </c>
      <c r="H32" s="35">
        <v>2</v>
      </c>
      <c r="I32" s="32">
        <f t="shared" si="0"/>
        <v>0.4</v>
      </c>
      <c r="J32" s="32">
        <f t="shared" si="1"/>
        <v>0.66666666666666663</v>
      </c>
      <c r="K32" s="35">
        <v>7</v>
      </c>
      <c r="L32" s="35">
        <v>2</v>
      </c>
      <c r="M32" s="32">
        <f t="shared" si="2"/>
        <v>0.2857142857142857</v>
      </c>
      <c r="N32" s="32">
        <f t="shared" si="3"/>
        <v>0.66666666666666663</v>
      </c>
      <c r="O32" s="35">
        <v>10</v>
      </c>
      <c r="P32" s="35">
        <v>3</v>
      </c>
      <c r="Q32" s="32">
        <f t="shared" si="4"/>
        <v>0.3</v>
      </c>
      <c r="R32" s="32">
        <f t="shared" si="5"/>
        <v>1</v>
      </c>
    </row>
    <row r="33" spans="1:18">
      <c r="A33" s="35" t="s">
        <v>203</v>
      </c>
      <c r="B33" s="35" t="s">
        <v>120</v>
      </c>
      <c r="C33" s="35" t="s">
        <v>221</v>
      </c>
      <c r="D33" s="35">
        <v>2</v>
      </c>
      <c r="E33" s="35" t="s">
        <v>239</v>
      </c>
      <c r="F33" s="35">
        <v>1</v>
      </c>
      <c r="G33" s="35">
        <v>5</v>
      </c>
      <c r="H33" s="35">
        <v>2</v>
      </c>
      <c r="I33" s="32">
        <f t="shared" si="0"/>
        <v>0.4</v>
      </c>
      <c r="J33" s="32">
        <f t="shared" si="1"/>
        <v>1</v>
      </c>
      <c r="K33" s="35">
        <v>7</v>
      </c>
      <c r="L33" s="35">
        <v>2</v>
      </c>
      <c r="M33" s="32">
        <f t="shared" si="2"/>
        <v>0.2857142857142857</v>
      </c>
      <c r="N33" s="32">
        <f t="shared" si="3"/>
        <v>1</v>
      </c>
      <c r="O33" s="35">
        <v>10</v>
      </c>
      <c r="P33" s="35">
        <v>2</v>
      </c>
      <c r="Q33" s="32">
        <f t="shared" si="4"/>
        <v>0.2</v>
      </c>
      <c r="R33" s="32">
        <f t="shared" si="5"/>
        <v>1</v>
      </c>
    </row>
    <row r="34" spans="1:18">
      <c r="A34" s="35" t="s">
        <v>203</v>
      </c>
      <c r="B34" s="35" t="s">
        <v>123</v>
      </c>
      <c r="C34" s="35" t="s">
        <v>221</v>
      </c>
      <c r="D34" s="35">
        <v>3</v>
      </c>
      <c r="E34" s="35" t="s">
        <v>240</v>
      </c>
      <c r="F34" s="35">
        <v>0.25</v>
      </c>
      <c r="G34" s="35">
        <v>5</v>
      </c>
      <c r="H34" s="35">
        <v>2</v>
      </c>
      <c r="I34" s="32">
        <f t="shared" si="0"/>
        <v>0.4</v>
      </c>
      <c r="J34" s="32">
        <f t="shared" si="1"/>
        <v>0.66666666666666663</v>
      </c>
      <c r="K34" s="35">
        <v>6</v>
      </c>
      <c r="L34" s="35">
        <v>2</v>
      </c>
      <c r="M34" s="32">
        <f t="shared" si="2"/>
        <v>0.33333333333333331</v>
      </c>
      <c r="N34" s="32">
        <f t="shared" si="3"/>
        <v>0.66666666666666663</v>
      </c>
      <c r="O34" s="35">
        <v>6</v>
      </c>
      <c r="P34" s="35">
        <v>2</v>
      </c>
      <c r="Q34" s="32">
        <f t="shared" si="4"/>
        <v>0.33333333333333331</v>
      </c>
      <c r="R34" s="32">
        <f t="shared" si="5"/>
        <v>0.66666666666666663</v>
      </c>
    </row>
    <row r="35" spans="1:18">
      <c r="A35" s="35" t="s">
        <v>203</v>
      </c>
      <c r="B35" s="35" t="s">
        <v>126</v>
      </c>
      <c r="C35" s="35" t="s">
        <v>221</v>
      </c>
      <c r="D35" s="35">
        <v>2</v>
      </c>
      <c r="E35" s="35" t="s">
        <v>241</v>
      </c>
      <c r="F35" s="35">
        <v>1</v>
      </c>
      <c r="G35" s="35">
        <v>5</v>
      </c>
      <c r="H35" s="35">
        <v>2</v>
      </c>
      <c r="I35" s="32">
        <f t="shared" si="0"/>
        <v>0.4</v>
      </c>
      <c r="J35" s="32">
        <f t="shared" si="1"/>
        <v>1</v>
      </c>
      <c r="K35" s="35">
        <v>7</v>
      </c>
      <c r="L35" s="35">
        <v>2</v>
      </c>
      <c r="M35" s="32">
        <f t="shared" si="2"/>
        <v>0.2857142857142857</v>
      </c>
      <c r="N35" s="32">
        <f t="shared" si="3"/>
        <v>1</v>
      </c>
      <c r="O35" s="35">
        <v>9</v>
      </c>
      <c r="P35" s="35">
        <v>2</v>
      </c>
      <c r="Q35" s="32">
        <f t="shared" si="4"/>
        <v>0.22222222222222221</v>
      </c>
      <c r="R35" s="32">
        <f t="shared" si="5"/>
        <v>1</v>
      </c>
    </row>
    <row r="36" spans="1:18">
      <c r="A36" s="35" t="s">
        <v>203</v>
      </c>
      <c r="B36" s="35" t="s">
        <v>129</v>
      </c>
      <c r="C36" s="35" t="s">
        <v>221</v>
      </c>
      <c r="D36" s="35">
        <v>4</v>
      </c>
      <c r="E36" s="35" t="s">
        <v>242</v>
      </c>
      <c r="F36" s="35">
        <v>1</v>
      </c>
      <c r="G36" s="35">
        <v>5</v>
      </c>
      <c r="H36" s="35">
        <v>3</v>
      </c>
      <c r="I36" s="32">
        <f t="shared" si="0"/>
        <v>0.6</v>
      </c>
      <c r="J36" s="32">
        <f t="shared" si="1"/>
        <v>0.75</v>
      </c>
      <c r="K36" s="35">
        <v>7</v>
      </c>
      <c r="L36" s="35">
        <v>3</v>
      </c>
      <c r="M36" s="32">
        <f t="shared" si="2"/>
        <v>0.42857142857142855</v>
      </c>
      <c r="N36" s="32">
        <f t="shared" si="3"/>
        <v>0.75</v>
      </c>
      <c r="O36" s="35">
        <v>10</v>
      </c>
      <c r="P36" s="35">
        <v>3</v>
      </c>
      <c r="Q36" s="32">
        <f t="shared" si="4"/>
        <v>0.3</v>
      </c>
      <c r="R36" s="32">
        <f t="shared" si="5"/>
        <v>0.75</v>
      </c>
    </row>
    <row r="37" spans="1:18">
      <c r="A37" s="35" t="s">
        <v>203</v>
      </c>
      <c r="B37" s="35" t="s">
        <v>132</v>
      </c>
      <c r="C37" s="35" t="s">
        <v>221</v>
      </c>
      <c r="D37" s="35">
        <v>7</v>
      </c>
      <c r="E37" s="35" t="s">
        <v>243</v>
      </c>
      <c r="F37" s="35">
        <v>1</v>
      </c>
      <c r="G37" s="35">
        <v>5</v>
      </c>
      <c r="H37" s="35">
        <v>4</v>
      </c>
      <c r="I37" s="32">
        <f t="shared" si="0"/>
        <v>0.8</v>
      </c>
      <c r="J37" s="32">
        <f t="shared" si="1"/>
        <v>0.5714285714285714</v>
      </c>
      <c r="K37" s="35">
        <v>7</v>
      </c>
      <c r="L37" s="35">
        <v>5</v>
      </c>
      <c r="M37" s="32">
        <f t="shared" si="2"/>
        <v>0.7142857142857143</v>
      </c>
      <c r="N37" s="32">
        <f t="shared" si="3"/>
        <v>0.7142857142857143</v>
      </c>
      <c r="O37" s="35">
        <v>7</v>
      </c>
      <c r="P37" s="35">
        <v>5</v>
      </c>
      <c r="Q37" s="32">
        <f t="shared" si="4"/>
        <v>0.7142857142857143</v>
      </c>
      <c r="R37" s="32">
        <f t="shared" si="5"/>
        <v>0.7142857142857143</v>
      </c>
    </row>
    <row r="38" spans="1:18">
      <c r="A38" s="35" t="s">
        <v>203</v>
      </c>
      <c r="B38" s="35" t="s">
        <v>135</v>
      </c>
      <c r="C38" s="35" t="s">
        <v>221</v>
      </c>
      <c r="D38" s="35">
        <v>1</v>
      </c>
      <c r="E38" s="35" t="s">
        <v>244</v>
      </c>
      <c r="F38" s="35">
        <v>0</v>
      </c>
      <c r="G38" s="35">
        <v>4</v>
      </c>
      <c r="H38" s="35">
        <v>0</v>
      </c>
      <c r="I38" s="32">
        <f t="shared" si="0"/>
        <v>0</v>
      </c>
      <c r="J38" s="32">
        <f t="shared" si="1"/>
        <v>0</v>
      </c>
      <c r="K38" s="35">
        <v>4</v>
      </c>
      <c r="L38" s="35">
        <v>0</v>
      </c>
      <c r="M38" s="32">
        <f t="shared" si="2"/>
        <v>0</v>
      </c>
      <c r="N38" s="32">
        <f t="shared" si="3"/>
        <v>0</v>
      </c>
      <c r="O38" s="35">
        <v>4</v>
      </c>
      <c r="P38" s="35">
        <v>0</v>
      </c>
      <c r="Q38" s="32">
        <f t="shared" si="4"/>
        <v>0</v>
      </c>
      <c r="R38" s="32">
        <f t="shared" si="5"/>
        <v>0</v>
      </c>
    </row>
    <row r="39" spans="1:18">
      <c r="A39" s="35" t="s">
        <v>203</v>
      </c>
      <c r="B39" s="35" t="s">
        <v>138</v>
      </c>
      <c r="C39" s="35" t="s">
        <v>221</v>
      </c>
      <c r="D39" s="35">
        <v>4</v>
      </c>
      <c r="E39" s="35" t="s">
        <v>245</v>
      </c>
      <c r="F39" s="35">
        <v>0.5</v>
      </c>
      <c r="G39" s="35">
        <v>5</v>
      </c>
      <c r="H39" s="35">
        <v>1</v>
      </c>
      <c r="I39" s="32">
        <f t="shared" si="0"/>
        <v>0.2</v>
      </c>
      <c r="J39" s="32">
        <f t="shared" si="1"/>
        <v>0.25</v>
      </c>
      <c r="K39" s="35">
        <v>7</v>
      </c>
      <c r="L39" s="35">
        <v>1</v>
      </c>
      <c r="M39" s="32">
        <f t="shared" si="2"/>
        <v>0.14285714285714285</v>
      </c>
      <c r="N39" s="32">
        <f t="shared" si="3"/>
        <v>0.25</v>
      </c>
      <c r="O39" s="35">
        <v>10</v>
      </c>
      <c r="P39" s="35">
        <v>2</v>
      </c>
      <c r="Q39" s="32">
        <f t="shared" si="4"/>
        <v>0.2</v>
      </c>
      <c r="R39" s="32">
        <f t="shared" si="5"/>
        <v>0.5</v>
      </c>
    </row>
    <row r="40" spans="1:18">
      <c r="A40" s="35" t="s">
        <v>203</v>
      </c>
      <c r="B40" s="35" t="s">
        <v>141</v>
      </c>
      <c r="C40" s="35" t="s">
        <v>221</v>
      </c>
      <c r="D40" s="35">
        <v>4</v>
      </c>
      <c r="E40" s="35" t="s">
        <v>246</v>
      </c>
      <c r="F40" s="35">
        <v>1</v>
      </c>
      <c r="G40" s="35">
        <v>5</v>
      </c>
      <c r="H40" s="35">
        <v>3</v>
      </c>
      <c r="I40" s="32">
        <f t="shared" si="0"/>
        <v>0.6</v>
      </c>
      <c r="J40" s="32">
        <f t="shared" si="1"/>
        <v>0.75</v>
      </c>
      <c r="K40" s="35">
        <v>7</v>
      </c>
      <c r="L40" s="35">
        <v>3</v>
      </c>
      <c r="M40" s="32">
        <f t="shared" si="2"/>
        <v>0.42857142857142855</v>
      </c>
      <c r="N40" s="32">
        <f t="shared" si="3"/>
        <v>0.75</v>
      </c>
      <c r="O40" s="35">
        <v>8</v>
      </c>
      <c r="P40" s="35">
        <v>4</v>
      </c>
      <c r="Q40" s="32">
        <f t="shared" si="4"/>
        <v>0.5</v>
      </c>
      <c r="R40" s="32">
        <f t="shared" si="5"/>
        <v>1</v>
      </c>
    </row>
    <row r="41" spans="1:18">
      <c r="A41" s="35" t="s">
        <v>203</v>
      </c>
      <c r="B41" s="35" t="s">
        <v>144</v>
      </c>
      <c r="C41" s="35" t="s">
        <v>221</v>
      </c>
      <c r="D41" s="35">
        <v>1</v>
      </c>
      <c r="E41" s="35" t="s">
        <v>247</v>
      </c>
      <c r="F41" s="35">
        <v>0.25</v>
      </c>
      <c r="G41" s="35">
        <v>5</v>
      </c>
      <c r="H41" s="35">
        <v>1</v>
      </c>
      <c r="I41" s="32">
        <f t="shared" si="0"/>
        <v>0.2</v>
      </c>
      <c r="J41" s="32">
        <f t="shared" si="1"/>
        <v>1</v>
      </c>
      <c r="K41" s="35">
        <v>6</v>
      </c>
      <c r="L41" s="35">
        <v>1</v>
      </c>
      <c r="M41" s="32">
        <f t="shared" si="2"/>
        <v>0.16666666666666666</v>
      </c>
      <c r="N41" s="32">
        <f t="shared" si="3"/>
        <v>1</v>
      </c>
      <c r="O41" s="35">
        <v>6</v>
      </c>
      <c r="P41" s="35">
        <v>1</v>
      </c>
      <c r="Q41" s="32">
        <f t="shared" si="4"/>
        <v>0.16666666666666666</v>
      </c>
      <c r="R41" s="32">
        <f t="shared" si="5"/>
        <v>1</v>
      </c>
    </row>
    <row r="42" spans="1:18">
      <c r="A42" s="35" t="s">
        <v>203</v>
      </c>
      <c r="B42" s="35" t="s">
        <v>147</v>
      </c>
      <c r="C42" s="35" t="s">
        <v>232</v>
      </c>
      <c r="D42" s="35">
        <v>0</v>
      </c>
      <c r="E42" s="35" t="s">
        <v>248</v>
      </c>
      <c r="F42" s="35">
        <v>0</v>
      </c>
      <c r="G42" s="35">
        <v>4</v>
      </c>
      <c r="H42" s="35">
        <v>0</v>
      </c>
      <c r="I42" s="32">
        <f t="shared" si="0"/>
        <v>0</v>
      </c>
      <c r="J42" s="32" t="str">
        <f t="shared" si="1"/>
        <v/>
      </c>
      <c r="K42" s="35">
        <v>4</v>
      </c>
      <c r="L42" s="35">
        <v>0</v>
      </c>
      <c r="M42" s="32">
        <f t="shared" si="2"/>
        <v>0</v>
      </c>
      <c r="N42" s="32" t="str">
        <f t="shared" si="3"/>
        <v/>
      </c>
      <c r="O42" s="35">
        <v>4</v>
      </c>
      <c r="P42" s="35">
        <v>0</v>
      </c>
      <c r="Q42" s="32">
        <f t="shared" si="4"/>
        <v>0</v>
      </c>
      <c r="R42" s="32" t="str">
        <f t="shared" si="5"/>
        <v/>
      </c>
    </row>
    <row r="43" spans="1:18">
      <c r="A43" s="35" t="s">
        <v>203</v>
      </c>
      <c r="B43" s="35" t="s">
        <v>150</v>
      </c>
      <c r="C43" s="35" t="s">
        <v>232</v>
      </c>
      <c r="D43" s="35">
        <v>0</v>
      </c>
      <c r="E43" s="35" t="s">
        <v>249</v>
      </c>
      <c r="F43" s="35">
        <v>0</v>
      </c>
      <c r="G43" s="35">
        <v>5</v>
      </c>
      <c r="H43" s="35">
        <v>0</v>
      </c>
      <c r="I43" s="32">
        <f t="shared" si="0"/>
        <v>0</v>
      </c>
      <c r="J43" s="32" t="str">
        <f t="shared" si="1"/>
        <v/>
      </c>
      <c r="K43" s="35">
        <v>7</v>
      </c>
      <c r="L43" s="35">
        <v>0</v>
      </c>
      <c r="M43" s="32">
        <f t="shared" si="2"/>
        <v>0</v>
      </c>
      <c r="N43" s="32" t="str">
        <f t="shared" si="3"/>
        <v/>
      </c>
      <c r="O43" s="35">
        <v>7</v>
      </c>
      <c r="P43" s="35">
        <v>0</v>
      </c>
      <c r="Q43" s="32">
        <f t="shared" si="4"/>
        <v>0</v>
      </c>
      <c r="R43" s="32" t="str">
        <f t="shared" si="5"/>
        <v/>
      </c>
    </row>
    <row r="44" spans="1:18">
      <c r="A44" s="35" t="s">
        <v>203</v>
      </c>
      <c r="B44" s="35" t="s">
        <v>8</v>
      </c>
      <c r="C44" s="35" t="s">
        <v>221</v>
      </c>
      <c r="D44" s="35">
        <v>1</v>
      </c>
      <c r="E44" s="35" t="s">
        <v>250</v>
      </c>
      <c r="F44" s="35">
        <v>1</v>
      </c>
      <c r="G44" s="35">
        <v>5</v>
      </c>
      <c r="H44" s="35">
        <v>1</v>
      </c>
      <c r="I44" s="32">
        <f t="shared" si="0"/>
        <v>0.2</v>
      </c>
      <c r="J44" s="32">
        <f t="shared" si="1"/>
        <v>1</v>
      </c>
      <c r="K44" s="35">
        <v>7</v>
      </c>
      <c r="L44" s="35">
        <v>1</v>
      </c>
      <c r="M44" s="32">
        <f t="shared" si="2"/>
        <v>0.14285714285714285</v>
      </c>
      <c r="N44" s="32">
        <f t="shared" si="3"/>
        <v>1</v>
      </c>
      <c r="O44" s="35">
        <v>10</v>
      </c>
      <c r="P44" s="35">
        <v>1</v>
      </c>
      <c r="Q44" s="32">
        <f t="shared" si="4"/>
        <v>0.1</v>
      </c>
      <c r="R44" s="32">
        <f t="shared" si="5"/>
        <v>1</v>
      </c>
    </row>
    <row r="45" spans="1:18">
      <c r="A45" s="35" t="s">
        <v>203</v>
      </c>
      <c r="B45" s="35" t="s">
        <v>30</v>
      </c>
      <c r="C45" s="35" t="s">
        <v>221</v>
      </c>
      <c r="D45" s="35">
        <v>1</v>
      </c>
      <c r="E45" s="35" t="s">
        <v>251</v>
      </c>
      <c r="F45" s="35">
        <v>1</v>
      </c>
      <c r="G45" s="35">
        <v>5</v>
      </c>
      <c r="H45" s="35">
        <v>1</v>
      </c>
      <c r="I45" s="32">
        <f t="shared" si="0"/>
        <v>0.2</v>
      </c>
      <c r="J45" s="32">
        <f t="shared" si="1"/>
        <v>1</v>
      </c>
      <c r="K45" s="35">
        <v>5</v>
      </c>
      <c r="L45" s="35">
        <v>1</v>
      </c>
      <c r="M45" s="32">
        <f t="shared" si="2"/>
        <v>0.2</v>
      </c>
      <c r="N45" s="32">
        <f t="shared" si="3"/>
        <v>1</v>
      </c>
      <c r="O45" s="35">
        <v>5</v>
      </c>
      <c r="P45" s="35">
        <v>1</v>
      </c>
      <c r="Q45" s="32">
        <f t="shared" si="4"/>
        <v>0.2</v>
      </c>
      <c r="R45" s="32">
        <f t="shared" si="5"/>
        <v>1</v>
      </c>
    </row>
    <row r="46" spans="1:18">
      <c r="A46" s="35" t="s">
        <v>203</v>
      </c>
      <c r="B46" s="35" t="s">
        <v>38</v>
      </c>
      <c r="C46" s="35" t="s">
        <v>221</v>
      </c>
      <c r="D46" s="35">
        <v>2</v>
      </c>
      <c r="E46" s="35" t="s">
        <v>252</v>
      </c>
      <c r="F46" s="35">
        <v>0.5</v>
      </c>
      <c r="G46" s="35">
        <v>5</v>
      </c>
      <c r="H46" s="35">
        <v>2</v>
      </c>
      <c r="I46" s="32">
        <f t="shared" si="0"/>
        <v>0.4</v>
      </c>
      <c r="J46" s="32">
        <f t="shared" si="1"/>
        <v>1</v>
      </c>
      <c r="K46" s="35">
        <v>5</v>
      </c>
      <c r="L46" s="35">
        <v>2</v>
      </c>
      <c r="M46" s="32">
        <f t="shared" si="2"/>
        <v>0.4</v>
      </c>
      <c r="N46" s="32">
        <f t="shared" si="3"/>
        <v>1</v>
      </c>
      <c r="O46" s="35">
        <v>5</v>
      </c>
      <c r="P46" s="35">
        <v>2</v>
      </c>
      <c r="Q46" s="32">
        <f t="shared" si="4"/>
        <v>0.4</v>
      </c>
      <c r="R46" s="32">
        <f t="shared" si="5"/>
        <v>1</v>
      </c>
    </row>
    <row r="47" spans="1:18">
      <c r="A47" s="35" t="s">
        <v>203</v>
      </c>
      <c r="B47" s="35" t="s">
        <v>44</v>
      </c>
      <c r="C47" s="35" t="s">
        <v>221</v>
      </c>
      <c r="D47" s="35">
        <v>3</v>
      </c>
      <c r="E47" s="35" t="s">
        <v>253</v>
      </c>
      <c r="F47" s="35">
        <v>1</v>
      </c>
      <c r="G47" s="35">
        <v>5</v>
      </c>
      <c r="H47" s="35">
        <v>2</v>
      </c>
      <c r="I47" s="32">
        <f t="shared" si="0"/>
        <v>0.4</v>
      </c>
      <c r="J47" s="32">
        <f t="shared" si="1"/>
        <v>0.66666666666666663</v>
      </c>
      <c r="K47" s="35">
        <v>7</v>
      </c>
      <c r="L47" s="35">
        <v>2</v>
      </c>
      <c r="M47" s="32">
        <f t="shared" si="2"/>
        <v>0.2857142857142857</v>
      </c>
      <c r="N47" s="32">
        <f t="shared" si="3"/>
        <v>0.66666666666666663</v>
      </c>
      <c r="O47" s="35">
        <v>10</v>
      </c>
      <c r="P47" s="35">
        <v>3</v>
      </c>
      <c r="Q47" s="32">
        <f t="shared" si="4"/>
        <v>0.3</v>
      </c>
      <c r="R47" s="32">
        <f t="shared" si="5"/>
        <v>1</v>
      </c>
    </row>
    <row r="48" spans="1:18">
      <c r="A48" s="35" t="s">
        <v>204</v>
      </c>
      <c r="B48" s="35" t="s">
        <v>117</v>
      </c>
      <c r="C48" s="35" t="s">
        <v>221</v>
      </c>
      <c r="D48" s="35">
        <v>3</v>
      </c>
      <c r="E48" s="35" t="s">
        <v>254</v>
      </c>
      <c r="F48" s="35">
        <v>1</v>
      </c>
      <c r="G48" s="35">
        <v>5</v>
      </c>
      <c r="H48" s="35">
        <v>2</v>
      </c>
      <c r="I48" s="32">
        <f t="shared" si="0"/>
        <v>0.4</v>
      </c>
      <c r="J48" s="32">
        <f t="shared" si="1"/>
        <v>0.66666666666666663</v>
      </c>
      <c r="K48" s="35">
        <v>7</v>
      </c>
      <c r="L48" s="35">
        <v>2</v>
      </c>
      <c r="M48" s="32">
        <f t="shared" si="2"/>
        <v>0.2857142857142857</v>
      </c>
      <c r="N48" s="32">
        <f t="shared" si="3"/>
        <v>0.66666666666666663</v>
      </c>
      <c r="O48" s="35">
        <v>10</v>
      </c>
      <c r="P48" s="35">
        <v>3</v>
      </c>
      <c r="Q48" s="32">
        <f t="shared" si="4"/>
        <v>0.3</v>
      </c>
      <c r="R48" s="32">
        <f t="shared" si="5"/>
        <v>1</v>
      </c>
    </row>
    <row r="49" spans="1:18">
      <c r="A49" s="35" t="s">
        <v>204</v>
      </c>
      <c r="B49" s="35" t="s">
        <v>120</v>
      </c>
      <c r="C49" s="35" t="s">
        <v>221</v>
      </c>
      <c r="D49" s="35">
        <v>2</v>
      </c>
      <c r="E49" s="35" t="s">
        <v>255</v>
      </c>
      <c r="F49" s="35">
        <v>1</v>
      </c>
      <c r="G49" s="35">
        <v>5</v>
      </c>
      <c r="H49" s="35">
        <v>2</v>
      </c>
      <c r="I49" s="32">
        <f t="shared" si="0"/>
        <v>0.4</v>
      </c>
      <c r="J49" s="32">
        <f t="shared" si="1"/>
        <v>1</v>
      </c>
      <c r="K49" s="35">
        <v>7</v>
      </c>
      <c r="L49" s="35">
        <v>2</v>
      </c>
      <c r="M49" s="32">
        <f t="shared" si="2"/>
        <v>0.2857142857142857</v>
      </c>
      <c r="N49" s="32">
        <f t="shared" si="3"/>
        <v>1</v>
      </c>
      <c r="O49" s="35">
        <v>10</v>
      </c>
      <c r="P49" s="35">
        <v>2</v>
      </c>
      <c r="Q49" s="32">
        <f t="shared" si="4"/>
        <v>0.2</v>
      </c>
      <c r="R49" s="32">
        <f t="shared" si="5"/>
        <v>1</v>
      </c>
    </row>
    <row r="50" spans="1:18">
      <c r="A50" s="35" t="s">
        <v>204</v>
      </c>
      <c r="B50" s="35" t="s">
        <v>123</v>
      </c>
      <c r="C50" s="35" t="s">
        <v>221</v>
      </c>
      <c r="D50" s="35">
        <v>3</v>
      </c>
      <c r="E50" s="35" t="s">
        <v>256</v>
      </c>
      <c r="F50" s="35">
        <v>0.2</v>
      </c>
      <c r="G50" s="35">
        <v>5</v>
      </c>
      <c r="H50" s="35">
        <v>1</v>
      </c>
      <c r="I50" s="32">
        <f t="shared" si="0"/>
        <v>0.2</v>
      </c>
      <c r="J50" s="32">
        <f t="shared" si="1"/>
        <v>0.33333333333333331</v>
      </c>
      <c r="K50" s="35">
        <v>6</v>
      </c>
      <c r="L50" s="35">
        <v>2</v>
      </c>
      <c r="M50" s="32">
        <f t="shared" si="2"/>
        <v>0.33333333333333331</v>
      </c>
      <c r="N50" s="32">
        <f t="shared" si="3"/>
        <v>0.66666666666666663</v>
      </c>
      <c r="O50" s="35">
        <v>6</v>
      </c>
      <c r="P50" s="35">
        <v>2</v>
      </c>
      <c r="Q50" s="32">
        <f t="shared" si="4"/>
        <v>0.33333333333333331</v>
      </c>
      <c r="R50" s="32">
        <f t="shared" si="5"/>
        <v>0.66666666666666663</v>
      </c>
    </row>
    <row r="51" spans="1:18">
      <c r="A51" s="35" t="s">
        <v>204</v>
      </c>
      <c r="B51" s="35" t="s">
        <v>126</v>
      </c>
      <c r="C51" s="35" t="s">
        <v>221</v>
      </c>
      <c r="D51" s="35">
        <v>2</v>
      </c>
      <c r="E51" s="35" t="s">
        <v>257</v>
      </c>
      <c r="F51" s="35">
        <v>1</v>
      </c>
      <c r="G51" s="35">
        <v>5</v>
      </c>
      <c r="H51" s="35">
        <v>2</v>
      </c>
      <c r="I51" s="32">
        <f t="shared" si="0"/>
        <v>0.4</v>
      </c>
      <c r="J51" s="32">
        <f t="shared" si="1"/>
        <v>1</v>
      </c>
      <c r="K51" s="35">
        <v>7</v>
      </c>
      <c r="L51" s="35">
        <v>2</v>
      </c>
      <c r="M51" s="32">
        <f t="shared" si="2"/>
        <v>0.2857142857142857</v>
      </c>
      <c r="N51" s="32">
        <f t="shared" si="3"/>
        <v>1</v>
      </c>
      <c r="O51" s="35">
        <v>9</v>
      </c>
      <c r="P51" s="35">
        <v>2</v>
      </c>
      <c r="Q51" s="32">
        <f t="shared" si="4"/>
        <v>0.22222222222222221</v>
      </c>
      <c r="R51" s="32">
        <f t="shared" si="5"/>
        <v>1</v>
      </c>
    </row>
    <row r="52" spans="1:18">
      <c r="A52" s="35" t="s">
        <v>204</v>
      </c>
      <c r="B52" s="35" t="s">
        <v>129</v>
      </c>
      <c r="C52" s="35" t="s">
        <v>221</v>
      </c>
      <c r="D52" s="35">
        <v>4</v>
      </c>
      <c r="E52" s="35" t="s">
        <v>258</v>
      </c>
      <c r="F52" s="35">
        <v>1</v>
      </c>
      <c r="G52" s="35">
        <v>5</v>
      </c>
      <c r="H52" s="35">
        <v>3</v>
      </c>
      <c r="I52" s="32">
        <f t="shared" si="0"/>
        <v>0.6</v>
      </c>
      <c r="J52" s="32">
        <f t="shared" si="1"/>
        <v>0.75</v>
      </c>
      <c r="K52" s="35">
        <v>7</v>
      </c>
      <c r="L52" s="35">
        <v>3</v>
      </c>
      <c r="M52" s="32">
        <f t="shared" si="2"/>
        <v>0.42857142857142855</v>
      </c>
      <c r="N52" s="32">
        <f t="shared" si="3"/>
        <v>0.75</v>
      </c>
      <c r="O52" s="35">
        <v>10</v>
      </c>
      <c r="P52" s="35">
        <v>3</v>
      </c>
      <c r="Q52" s="32">
        <f t="shared" si="4"/>
        <v>0.3</v>
      </c>
      <c r="R52" s="32">
        <f t="shared" si="5"/>
        <v>0.75</v>
      </c>
    </row>
    <row r="53" spans="1:18">
      <c r="A53" s="35" t="s">
        <v>204</v>
      </c>
      <c r="B53" s="35" t="s">
        <v>132</v>
      </c>
      <c r="C53" s="35" t="s">
        <v>221</v>
      </c>
      <c r="D53" s="35">
        <v>7</v>
      </c>
      <c r="E53" s="35" t="s">
        <v>259</v>
      </c>
      <c r="F53" s="35">
        <v>1</v>
      </c>
      <c r="G53" s="35">
        <v>5</v>
      </c>
      <c r="H53" s="35">
        <v>5</v>
      </c>
      <c r="I53" s="32">
        <f t="shared" si="0"/>
        <v>1</v>
      </c>
      <c r="J53" s="32">
        <f t="shared" si="1"/>
        <v>0.7142857142857143</v>
      </c>
      <c r="K53" s="35">
        <v>7</v>
      </c>
      <c r="L53" s="35">
        <v>6</v>
      </c>
      <c r="M53" s="32">
        <f t="shared" si="2"/>
        <v>0.8571428571428571</v>
      </c>
      <c r="N53" s="32">
        <f t="shared" si="3"/>
        <v>0.8571428571428571</v>
      </c>
      <c r="O53" s="35">
        <v>10</v>
      </c>
      <c r="P53" s="35">
        <v>7</v>
      </c>
      <c r="Q53" s="32">
        <f t="shared" si="4"/>
        <v>0.7</v>
      </c>
      <c r="R53" s="32">
        <f t="shared" si="5"/>
        <v>1</v>
      </c>
    </row>
    <row r="54" spans="1:18">
      <c r="A54" s="35" t="s">
        <v>204</v>
      </c>
      <c r="B54" s="35" t="s">
        <v>135</v>
      </c>
      <c r="C54" s="35" t="s">
        <v>221</v>
      </c>
      <c r="D54" s="35">
        <v>1</v>
      </c>
      <c r="E54" s="35" t="s">
        <v>260</v>
      </c>
      <c r="F54" s="35">
        <v>0</v>
      </c>
      <c r="G54" s="35">
        <v>4</v>
      </c>
      <c r="H54" s="35">
        <v>0</v>
      </c>
      <c r="I54" s="32">
        <f t="shared" si="0"/>
        <v>0</v>
      </c>
      <c r="J54" s="32">
        <f t="shared" si="1"/>
        <v>0</v>
      </c>
      <c r="K54" s="35">
        <v>4</v>
      </c>
      <c r="L54" s="35">
        <v>0</v>
      </c>
      <c r="M54" s="32">
        <f t="shared" si="2"/>
        <v>0</v>
      </c>
      <c r="N54" s="32">
        <f t="shared" si="3"/>
        <v>0</v>
      </c>
      <c r="O54" s="35">
        <v>4</v>
      </c>
      <c r="P54" s="35">
        <v>0</v>
      </c>
      <c r="Q54" s="32">
        <f t="shared" si="4"/>
        <v>0</v>
      </c>
      <c r="R54" s="32">
        <f t="shared" si="5"/>
        <v>0</v>
      </c>
    </row>
    <row r="55" spans="1:18">
      <c r="A55" s="35" t="s">
        <v>204</v>
      </c>
      <c r="B55" s="35" t="s">
        <v>138</v>
      </c>
      <c r="C55" s="35" t="s">
        <v>221</v>
      </c>
      <c r="D55" s="35">
        <v>4</v>
      </c>
      <c r="E55" s="35" t="s">
        <v>261</v>
      </c>
      <c r="F55" s="35">
        <v>0.33329999999999999</v>
      </c>
      <c r="G55" s="35">
        <v>5</v>
      </c>
      <c r="H55" s="35">
        <v>2</v>
      </c>
      <c r="I55" s="32">
        <f t="shared" si="0"/>
        <v>0.4</v>
      </c>
      <c r="J55" s="32">
        <f t="shared" si="1"/>
        <v>0.5</v>
      </c>
      <c r="K55" s="35">
        <v>7</v>
      </c>
      <c r="L55" s="35">
        <v>2</v>
      </c>
      <c r="M55" s="32">
        <f t="shared" si="2"/>
        <v>0.2857142857142857</v>
      </c>
      <c r="N55" s="32">
        <f t="shared" si="3"/>
        <v>0.5</v>
      </c>
      <c r="O55" s="35">
        <v>10</v>
      </c>
      <c r="P55" s="35">
        <v>4</v>
      </c>
      <c r="Q55" s="32">
        <f t="shared" si="4"/>
        <v>0.4</v>
      </c>
      <c r="R55" s="32">
        <f t="shared" si="5"/>
        <v>1</v>
      </c>
    </row>
    <row r="56" spans="1:18">
      <c r="A56" s="35" t="s">
        <v>204</v>
      </c>
      <c r="B56" s="35" t="s">
        <v>141</v>
      </c>
      <c r="C56" s="35" t="s">
        <v>221</v>
      </c>
      <c r="D56" s="35">
        <v>4</v>
      </c>
      <c r="E56" s="35" t="s">
        <v>262</v>
      </c>
      <c r="F56" s="35">
        <v>1</v>
      </c>
      <c r="G56" s="35">
        <v>5</v>
      </c>
      <c r="H56" s="35">
        <v>4</v>
      </c>
      <c r="I56" s="32">
        <f t="shared" si="0"/>
        <v>0.8</v>
      </c>
      <c r="J56" s="32">
        <f t="shared" si="1"/>
        <v>1</v>
      </c>
      <c r="K56" s="35">
        <v>7</v>
      </c>
      <c r="L56" s="35">
        <v>4</v>
      </c>
      <c r="M56" s="32">
        <f t="shared" si="2"/>
        <v>0.5714285714285714</v>
      </c>
      <c r="N56" s="32">
        <f t="shared" si="3"/>
        <v>1</v>
      </c>
      <c r="O56" s="35">
        <v>8</v>
      </c>
      <c r="P56" s="35">
        <v>4</v>
      </c>
      <c r="Q56" s="32">
        <f t="shared" si="4"/>
        <v>0.5</v>
      </c>
      <c r="R56" s="32">
        <f t="shared" si="5"/>
        <v>1</v>
      </c>
    </row>
    <row r="57" spans="1:18">
      <c r="A57" s="35" t="s">
        <v>204</v>
      </c>
      <c r="B57" s="35" t="s">
        <v>144</v>
      </c>
      <c r="C57" s="35" t="s">
        <v>221</v>
      </c>
      <c r="D57" s="35">
        <v>1</v>
      </c>
      <c r="E57" s="35" t="s">
        <v>263</v>
      </c>
      <c r="F57" s="35">
        <v>0.5</v>
      </c>
      <c r="G57" s="35">
        <v>5</v>
      </c>
      <c r="H57" s="35">
        <v>1</v>
      </c>
      <c r="I57" s="32">
        <f t="shared" si="0"/>
        <v>0.2</v>
      </c>
      <c r="J57" s="32">
        <f t="shared" si="1"/>
        <v>1</v>
      </c>
      <c r="K57" s="35">
        <v>6</v>
      </c>
      <c r="L57" s="35">
        <v>1</v>
      </c>
      <c r="M57" s="32">
        <f t="shared" si="2"/>
        <v>0.16666666666666666</v>
      </c>
      <c r="N57" s="32">
        <f t="shared" si="3"/>
        <v>1</v>
      </c>
      <c r="O57" s="35">
        <v>6</v>
      </c>
      <c r="P57" s="35">
        <v>1</v>
      </c>
      <c r="Q57" s="32">
        <f t="shared" si="4"/>
        <v>0.16666666666666666</v>
      </c>
      <c r="R57" s="32">
        <f t="shared" si="5"/>
        <v>1</v>
      </c>
    </row>
    <row r="58" spans="1:18">
      <c r="A58" s="35" t="s">
        <v>204</v>
      </c>
      <c r="B58" s="35" t="s">
        <v>147</v>
      </c>
      <c r="C58" s="35" t="s">
        <v>232</v>
      </c>
      <c r="D58" s="35">
        <v>0</v>
      </c>
      <c r="E58" s="35" t="s">
        <v>264</v>
      </c>
      <c r="F58" s="35">
        <v>0</v>
      </c>
      <c r="G58" s="35">
        <v>4</v>
      </c>
      <c r="H58" s="35">
        <v>0</v>
      </c>
      <c r="I58" s="32">
        <f t="shared" si="0"/>
        <v>0</v>
      </c>
      <c r="J58" s="32" t="str">
        <f t="shared" si="1"/>
        <v/>
      </c>
      <c r="K58" s="35">
        <v>4</v>
      </c>
      <c r="L58" s="35">
        <v>0</v>
      </c>
      <c r="M58" s="32">
        <f t="shared" si="2"/>
        <v>0</v>
      </c>
      <c r="N58" s="32" t="str">
        <f t="shared" si="3"/>
        <v/>
      </c>
      <c r="O58" s="35">
        <v>4</v>
      </c>
      <c r="P58" s="35">
        <v>0</v>
      </c>
      <c r="Q58" s="32">
        <f t="shared" si="4"/>
        <v>0</v>
      </c>
      <c r="R58" s="32" t="str">
        <f t="shared" si="5"/>
        <v/>
      </c>
    </row>
    <row r="59" spans="1:18">
      <c r="A59" s="35" t="s">
        <v>204</v>
      </c>
      <c r="B59" s="35" t="s">
        <v>150</v>
      </c>
      <c r="C59" s="35" t="s">
        <v>232</v>
      </c>
      <c r="D59" s="35">
        <v>0</v>
      </c>
      <c r="E59" s="35" t="s">
        <v>249</v>
      </c>
      <c r="F59" s="35">
        <v>0</v>
      </c>
      <c r="G59" s="35">
        <v>5</v>
      </c>
      <c r="H59" s="35">
        <v>0</v>
      </c>
      <c r="I59" s="32">
        <f t="shared" si="0"/>
        <v>0</v>
      </c>
      <c r="J59" s="32" t="str">
        <f t="shared" si="1"/>
        <v/>
      </c>
      <c r="K59" s="35">
        <v>7</v>
      </c>
      <c r="L59" s="35">
        <v>0</v>
      </c>
      <c r="M59" s="32">
        <f t="shared" si="2"/>
        <v>0</v>
      </c>
      <c r="N59" s="32" t="str">
        <f t="shared" si="3"/>
        <v/>
      </c>
      <c r="O59" s="35">
        <v>7</v>
      </c>
      <c r="P59" s="35">
        <v>0</v>
      </c>
      <c r="Q59" s="32">
        <f t="shared" si="4"/>
        <v>0</v>
      </c>
      <c r="R59" s="32" t="str">
        <f t="shared" si="5"/>
        <v/>
      </c>
    </row>
    <row r="60" spans="1:18">
      <c r="A60" s="35" t="s">
        <v>204</v>
      </c>
      <c r="B60" s="35" t="s">
        <v>8</v>
      </c>
      <c r="C60" s="35" t="s">
        <v>221</v>
      </c>
      <c r="D60" s="35">
        <v>1</v>
      </c>
      <c r="E60" s="35" t="s">
        <v>250</v>
      </c>
      <c r="F60" s="35">
        <v>1</v>
      </c>
      <c r="G60" s="35">
        <v>5</v>
      </c>
      <c r="H60" s="35">
        <v>1</v>
      </c>
      <c r="I60" s="32">
        <f t="shared" si="0"/>
        <v>0.2</v>
      </c>
      <c r="J60" s="32">
        <f t="shared" si="1"/>
        <v>1</v>
      </c>
      <c r="K60" s="35">
        <v>7</v>
      </c>
      <c r="L60" s="35">
        <v>1</v>
      </c>
      <c r="M60" s="32">
        <f t="shared" si="2"/>
        <v>0.14285714285714285</v>
      </c>
      <c r="N60" s="32">
        <f t="shared" si="3"/>
        <v>1</v>
      </c>
      <c r="O60" s="35">
        <v>10</v>
      </c>
      <c r="P60" s="35">
        <v>1</v>
      </c>
      <c r="Q60" s="32">
        <f t="shared" si="4"/>
        <v>0.1</v>
      </c>
      <c r="R60" s="32">
        <f t="shared" si="5"/>
        <v>1</v>
      </c>
    </row>
    <row r="61" spans="1:18">
      <c r="A61" s="35" t="s">
        <v>204</v>
      </c>
      <c r="B61" s="35" t="s">
        <v>30</v>
      </c>
      <c r="C61" s="35" t="s">
        <v>221</v>
      </c>
      <c r="D61" s="35">
        <v>1</v>
      </c>
      <c r="E61" s="35" t="s">
        <v>265</v>
      </c>
      <c r="F61" s="35">
        <v>1</v>
      </c>
      <c r="G61" s="35">
        <v>5</v>
      </c>
      <c r="H61" s="35">
        <v>1</v>
      </c>
      <c r="I61" s="32">
        <f t="shared" si="0"/>
        <v>0.2</v>
      </c>
      <c r="J61" s="32">
        <f t="shared" si="1"/>
        <v>1</v>
      </c>
      <c r="K61" s="35">
        <v>5</v>
      </c>
      <c r="L61" s="35">
        <v>1</v>
      </c>
      <c r="M61" s="32">
        <f t="shared" si="2"/>
        <v>0.2</v>
      </c>
      <c r="N61" s="32">
        <f t="shared" si="3"/>
        <v>1</v>
      </c>
      <c r="O61" s="35">
        <v>5</v>
      </c>
      <c r="P61" s="35">
        <v>1</v>
      </c>
      <c r="Q61" s="32">
        <f t="shared" si="4"/>
        <v>0.2</v>
      </c>
      <c r="R61" s="32">
        <f t="shared" si="5"/>
        <v>1</v>
      </c>
    </row>
    <row r="62" spans="1:18">
      <c r="A62" s="35" t="s">
        <v>204</v>
      </c>
      <c r="B62" s="35" t="s">
        <v>38</v>
      </c>
      <c r="C62" s="35" t="s">
        <v>221</v>
      </c>
      <c r="D62" s="35">
        <v>2</v>
      </c>
      <c r="E62" s="35" t="s">
        <v>266</v>
      </c>
      <c r="F62" s="35">
        <v>1</v>
      </c>
      <c r="G62" s="35">
        <v>5</v>
      </c>
      <c r="H62" s="35">
        <v>2</v>
      </c>
      <c r="I62" s="32">
        <f t="shared" si="0"/>
        <v>0.4</v>
      </c>
      <c r="J62" s="32">
        <f t="shared" si="1"/>
        <v>1</v>
      </c>
      <c r="K62" s="35">
        <v>5</v>
      </c>
      <c r="L62" s="35">
        <v>2</v>
      </c>
      <c r="M62" s="32">
        <f t="shared" si="2"/>
        <v>0.4</v>
      </c>
      <c r="N62" s="32">
        <f t="shared" si="3"/>
        <v>1</v>
      </c>
      <c r="O62" s="35">
        <v>5</v>
      </c>
      <c r="P62" s="35">
        <v>2</v>
      </c>
      <c r="Q62" s="32">
        <f t="shared" si="4"/>
        <v>0.4</v>
      </c>
      <c r="R62" s="32">
        <f t="shared" si="5"/>
        <v>1</v>
      </c>
    </row>
    <row r="63" spans="1:18">
      <c r="A63" s="35" t="s">
        <v>204</v>
      </c>
      <c r="B63" s="35" t="s">
        <v>44</v>
      </c>
      <c r="C63" s="35" t="s">
        <v>221</v>
      </c>
      <c r="D63" s="35">
        <v>3</v>
      </c>
      <c r="E63" s="35" t="s">
        <v>267</v>
      </c>
      <c r="F63" s="35">
        <v>1</v>
      </c>
      <c r="G63" s="35">
        <v>5</v>
      </c>
      <c r="H63" s="35">
        <v>2</v>
      </c>
      <c r="I63" s="32">
        <f t="shared" si="0"/>
        <v>0.4</v>
      </c>
      <c r="J63" s="32">
        <f t="shared" si="1"/>
        <v>0.66666666666666663</v>
      </c>
      <c r="K63" s="35">
        <v>7</v>
      </c>
      <c r="L63" s="35">
        <v>2</v>
      </c>
      <c r="M63" s="32">
        <f t="shared" si="2"/>
        <v>0.2857142857142857</v>
      </c>
      <c r="N63" s="32">
        <f t="shared" si="3"/>
        <v>0.66666666666666663</v>
      </c>
      <c r="O63" s="35">
        <v>10</v>
      </c>
      <c r="P63" s="35">
        <v>3</v>
      </c>
      <c r="Q63" s="32">
        <f t="shared" si="4"/>
        <v>0.3</v>
      </c>
      <c r="R63" s="32">
        <f t="shared" si="5"/>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7"/>
  <sheetViews>
    <sheetView workbookViewId="0">
      <pane xSplit="4" ySplit="15" topLeftCell="E16" activePane="bottomRight" state="frozen"/>
      <selection pane="topRight"/>
      <selection pane="bottomLeft"/>
      <selection pane="bottomRight"/>
    </sheetView>
  </sheetViews>
  <sheetFormatPr defaultRowHeight="14"/>
  <cols>
    <col min="1" max="1" width="11" customWidth="1"/>
    <col min="2" max="2" width="20" customWidth="1"/>
    <col min="3" max="3" width="34" customWidth="1"/>
    <col min="4" max="4" width="12" customWidth="1"/>
    <col min="5" max="5" width="14" customWidth="1"/>
    <col min="6" max="6" width="12" customWidth="1"/>
    <col min="7" max="7" width="8" customWidth="1"/>
    <col min="8" max="9" width="10" customWidth="1"/>
    <col min="10" max="10" width="13" customWidth="1"/>
    <col min="11" max="11" width="10" customWidth="1"/>
    <col min="12" max="12" width="14" customWidth="1"/>
    <col min="13" max="13" width="16" customWidth="1"/>
    <col min="14" max="14" width="18" customWidth="1"/>
    <col min="15" max="15" width="80" customWidth="1"/>
    <col min="16" max="17" width="50" customWidth="1"/>
  </cols>
  <sheetData>
    <row r="1" spans="1:17" ht="15.5" customHeight="1">
      <c r="A1" s="29" t="s">
        <v>268</v>
      </c>
    </row>
    <row r="3" spans="1:17" ht="45" customHeight="1">
      <c r="A3" s="39" t="s">
        <v>193</v>
      </c>
      <c r="B3" s="39" t="s">
        <v>269</v>
      </c>
      <c r="C3" s="39" t="s">
        <v>270</v>
      </c>
      <c r="D3" s="39" t="s">
        <v>271</v>
      </c>
      <c r="E3" s="39" t="s">
        <v>272</v>
      </c>
      <c r="F3" s="39" t="s">
        <v>273</v>
      </c>
    </row>
    <row r="4" spans="1:17">
      <c r="A4" s="40" t="s">
        <v>202</v>
      </c>
      <c r="B4" s="41">
        <f>AVERAGEIFS($I$16:$I$27,$D$16:$D$27,$A4,$G$16:$G$27,"&gt;0")</f>
        <v>0.57142857142857151</v>
      </c>
      <c r="C4" s="42">
        <f>AVERAGEIFS($J$16:$J$27,$D$16:$D$27,$A4,$G$16:$G$27,"&gt;0")</f>
        <v>90</v>
      </c>
      <c r="D4" s="42">
        <f>AVERAGEIFS($L$16:$L$27,$D$16:$D$27,$A4,$G$16:$G$27,"&gt;0")</f>
        <v>65</v>
      </c>
      <c r="E4" s="42">
        <f>AVERAGEIFS($M$16:$M$27,$D$16:$D$27,$A4,$G$16:$G$27,"&gt;0")</f>
        <v>95</v>
      </c>
      <c r="F4" s="43" t="str">
        <f>INDEX($N$16:$N$27,MATCH(1,INDEX(($A$16:$A$27="Q12")*($D$16:$D$27=$A4),0),0))</f>
        <v>Yes</v>
      </c>
    </row>
    <row r="5" spans="1:17">
      <c r="A5" s="40" t="s">
        <v>203</v>
      </c>
      <c r="B5" s="41">
        <f>AVERAGEIFS($I$16:$I$27,$D$16:$D$27,$A5,$G$16:$G$27,"&gt;0")</f>
        <v>0.74603174603174605</v>
      </c>
      <c r="C5" s="42">
        <f>AVERAGEIFS($J$16:$J$27,$D$16:$D$27,$A5,$G$16:$G$27,"&gt;0")</f>
        <v>83.333333333333329</v>
      </c>
      <c r="D5" s="42">
        <f>AVERAGEIFS($L$16:$L$27,$D$16:$D$27,$A5,$G$16:$G$27,"&gt;0")</f>
        <v>95</v>
      </c>
      <c r="E5" s="42">
        <f>AVERAGEIFS($M$16:$M$27,$D$16:$D$27,$A5,$G$16:$G$27,"&gt;0")</f>
        <v>93.333333333333329</v>
      </c>
      <c r="F5" s="43" t="str">
        <f>INDEX($N$16:$N$27,MATCH(1,INDEX(($A$16:$A$27="Q12")*($D$16:$D$27=$A5),0),0))</f>
        <v>Yes</v>
      </c>
    </row>
    <row r="6" spans="1:17">
      <c r="A6" s="40" t="s">
        <v>204</v>
      </c>
      <c r="B6" s="41">
        <f>AVERAGEIFS($I$16:$I$27,$D$16:$D$27,$A6,$G$16:$G$27,"&gt;0")</f>
        <v>0.68253968253968267</v>
      </c>
      <c r="C6" s="42">
        <f>AVERAGEIFS($J$16:$J$27,$D$16:$D$27,$A6,$G$16:$G$27,"&gt;0")</f>
        <v>93.333333333333329</v>
      </c>
      <c r="D6" s="42">
        <f>AVERAGEIFS($L$16:$L$27,$D$16:$D$27,$A6,$G$16:$G$27,"&gt;0")</f>
        <v>95</v>
      </c>
      <c r="E6" s="42">
        <f>AVERAGEIFS($M$16:$M$27,$D$16:$D$27,$A6,$G$16:$G$27,"&gt;0")</f>
        <v>96.666666666666671</v>
      </c>
      <c r="F6" s="43" t="str">
        <f>INDEX($N$16:$N$27,MATCH(1,INDEX(($A$16:$A$27="Q12")*($D$16:$D$27=$A6),0),0))</f>
        <v>Yes</v>
      </c>
    </row>
    <row r="8" spans="1:17">
      <c r="A8" s="36" t="s">
        <v>274</v>
      </c>
    </row>
    <row r="9" spans="1:17">
      <c r="A9" s="37" t="s">
        <v>275</v>
      </c>
    </row>
    <row r="10" spans="1:17">
      <c r="A10" s="37" t="s">
        <v>276</v>
      </c>
    </row>
    <row r="11" spans="1:17">
      <c r="A11" s="37" t="s">
        <v>277</v>
      </c>
    </row>
    <row r="12" spans="1:17">
      <c r="A12" s="37" t="s">
        <v>278</v>
      </c>
    </row>
    <row r="13" spans="1:17">
      <c r="A13" s="37" t="s">
        <v>279</v>
      </c>
    </row>
    <row r="15" spans="1:17" ht="60" customHeight="1">
      <c r="A15" s="39" t="s">
        <v>0</v>
      </c>
      <c r="B15" s="39" t="s">
        <v>280</v>
      </c>
      <c r="C15" s="39" t="s">
        <v>1</v>
      </c>
      <c r="D15" s="39" t="s">
        <v>193</v>
      </c>
      <c r="E15" s="39" t="s">
        <v>281</v>
      </c>
      <c r="F15" s="39" t="s">
        <v>282</v>
      </c>
      <c r="G15" s="39" t="s">
        <v>283</v>
      </c>
      <c r="H15" s="39" t="s">
        <v>284</v>
      </c>
      <c r="I15" s="39" t="s">
        <v>285</v>
      </c>
      <c r="J15" s="39" t="s">
        <v>286</v>
      </c>
      <c r="K15" s="39" t="s">
        <v>287</v>
      </c>
      <c r="L15" s="39" t="s">
        <v>288</v>
      </c>
      <c r="M15" s="39" t="s">
        <v>289</v>
      </c>
      <c r="N15" s="39" t="s">
        <v>290</v>
      </c>
      <c r="O15" s="39" t="s">
        <v>291</v>
      </c>
      <c r="P15" s="39" t="s">
        <v>292</v>
      </c>
      <c r="Q15" s="39" t="s">
        <v>293</v>
      </c>
    </row>
    <row r="16" spans="1:17" ht="196" customHeight="1">
      <c r="A16" s="44" t="s">
        <v>8</v>
      </c>
      <c r="B16" s="44" t="s">
        <v>294</v>
      </c>
      <c r="C16" s="45" t="s">
        <v>9</v>
      </c>
      <c r="D16" s="44" t="s">
        <v>202</v>
      </c>
      <c r="E16" s="44" t="s">
        <v>235</v>
      </c>
      <c r="F16" s="44" t="s">
        <v>235</v>
      </c>
      <c r="G16" s="44">
        <v>1</v>
      </c>
      <c r="H16" s="44">
        <v>1</v>
      </c>
      <c r="I16" s="46">
        <f t="shared" ref="I16:I27" si="0">IF(G16=0,"n/a",H16/G16)</f>
        <v>1</v>
      </c>
      <c r="J16" s="44">
        <v>75</v>
      </c>
      <c r="K16" s="44" t="s">
        <v>232</v>
      </c>
      <c r="L16" s="44">
        <v>100</v>
      </c>
      <c r="M16" s="44">
        <v>100</v>
      </c>
      <c r="N16" s="44" t="s">
        <v>295</v>
      </c>
      <c r="O16" s="45" t="s">
        <v>296</v>
      </c>
      <c r="P16" s="45" t="s">
        <v>297</v>
      </c>
      <c r="Q16" s="45"/>
    </row>
    <row r="17" spans="1:17" ht="140" customHeight="1">
      <c r="A17" s="44" t="s">
        <v>8</v>
      </c>
      <c r="B17" s="44" t="s">
        <v>294</v>
      </c>
      <c r="C17" s="45" t="s">
        <v>9</v>
      </c>
      <c r="D17" s="44" t="s">
        <v>203</v>
      </c>
      <c r="E17" s="44" t="s">
        <v>298</v>
      </c>
      <c r="F17" s="44" t="s">
        <v>235</v>
      </c>
      <c r="G17" s="44">
        <v>1</v>
      </c>
      <c r="H17" s="44">
        <v>1</v>
      </c>
      <c r="I17" s="46">
        <f t="shared" si="0"/>
        <v>1</v>
      </c>
      <c r="J17" s="44">
        <v>85</v>
      </c>
      <c r="K17" s="44" t="s">
        <v>232</v>
      </c>
      <c r="L17" s="44">
        <v>100</v>
      </c>
      <c r="M17" s="44">
        <v>100</v>
      </c>
      <c r="N17" s="44" t="s">
        <v>295</v>
      </c>
      <c r="O17" s="45" t="s">
        <v>299</v>
      </c>
      <c r="P17" s="45" t="s">
        <v>300</v>
      </c>
      <c r="Q17" s="45"/>
    </row>
    <row r="18" spans="1:17" ht="140" customHeight="1">
      <c r="A18" s="44" t="s">
        <v>8</v>
      </c>
      <c r="B18" s="44" t="s">
        <v>294</v>
      </c>
      <c r="C18" s="45" t="s">
        <v>9</v>
      </c>
      <c r="D18" s="44" t="s">
        <v>204</v>
      </c>
      <c r="E18" s="44" t="s">
        <v>298</v>
      </c>
      <c r="F18" s="44" t="s">
        <v>235</v>
      </c>
      <c r="G18" s="44">
        <v>1</v>
      </c>
      <c r="H18" s="44">
        <v>1</v>
      </c>
      <c r="I18" s="46">
        <f t="shared" si="0"/>
        <v>1</v>
      </c>
      <c r="J18" s="44">
        <v>100</v>
      </c>
      <c r="K18" s="44" t="s">
        <v>221</v>
      </c>
      <c r="L18" s="44">
        <v>100</v>
      </c>
      <c r="M18" s="44">
        <v>100</v>
      </c>
      <c r="N18" s="44" t="s">
        <v>295</v>
      </c>
      <c r="O18" s="45" t="s">
        <v>301</v>
      </c>
      <c r="P18" s="45"/>
      <c r="Q18" s="45"/>
    </row>
    <row r="19" spans="1:17" ht="252" customHeight="1">
      <c r="A19" s="44" t="s">
        <v>132</v>
      </c>
      <c r="B19" s="44" t="s">
        <v>302</v>
      </c>
      <c r="C19" s="45" t="s">
        <v>133</v>
      </c>
      <c r="D19" s="44" t="s">
        <v>202</v>
      </c>
      <c r="E19" s="44" t="s">
        <v>303</v>
      </c>
      <c r="F19" s="44" t="s">
        <v>304</v>
      </c>
      <c r="G19" s="44">
        <v>7</v>
      </c>
      <c r="H19" s="44">
        <v>5</v>
      </c>
      <c r="I19" s="46">
        <f t="shared" si="0"/>
        <v>0.7142857142857143</v>
      </c>
      <c r="J19" s="44">
        <v>95</v>
      </c>
      <c r="K19" s="44" t="s">
        <v>232</v>
      </c>
      <c r="L19" s="44">
        <v>95</v>
      </c>
      <c r="M19" s="44">
        <v>95</v>
      </c>
      <c r="N19" s="44" t="s">
        <v>295</v>
      </c>
      <c r="O19" s="45" t="s">
        <v>305</v>
      </c>
      <c r="P19" s="45" t="s">
        <v>306</v>
      </c>
      <c r="Q19" s="45" t="s">
        <v>307</v>
      </c>
    </row>
    <row r="20" spans="1:17" ht="266" customHeight="1">
      <c r="A20" s="44" t="s">
        <v>132</v>
      </c>
      <c r="B20" s="44" t="s">
        <v>302</v>
      </c>
      <c r="C20" s="45" t="s">
        <v>133</v>
      </c>
      <c r="D20" s="44" t="s">
        <v>203</v>
      </c>
      <c r="E20" s="44" t="s">
        <v>308</v>
      </c>
      <c r="F20" s="44" t="s">
        <v>304</v>
      </c>
      <c r="G20" s="44">
        <v>7</v>
      </c>
      <c r="H20" s="44">
        <v>4</v>
      </c>
      <c r="I20" s="46">
        <f t="shared" si="0"/>
        <v>0.5714285714285714</v>
      </c>
      <c r="J20" s="44">
        <v>80</v>
      </c>
      <c r="K20" s="44" t="s">
        <v>232</v>
      </c>
      <c r="L20" s="44">
        <v>90</v>
      </c>
      <c r="M20" s="44">
        <v>95</v>
      </c>
      <c r="N20" s="44" t="s">
        <v>295</v>
      </c>
      <c r="O20" s="45" t="s">
        <v>309</v>
      </c>
      <c r="P20" s="45" t="s">
        <v>310</v>
      </c>
      <c r="Q20" s="45" t="s">
        <v>311</v>
      </c>
    </row>
    <row r="21" spans="1:17" ht="238" customHeight="1">
      <c r="A21" s="44" t="s">
        <v>132</v>
      </c>
      <c r="B21" s="44" t="s">
        <v>302</v>
      </c>
      <c r="C21" s="45" t="s">
        <v>133</v>
      </c>
      <c r="D21" s="44" t="s">
        <v>204</v>
      </c>
      <c r="E21" s="44" t="s">
        <v>312</v>
      </c>
      <c r="F21" s="44" t="s">
        <v>304</v>
      </c>
      <c r="G21" s="44">
        <v>7</v>
      </c>
      <c r="H21" s="44">
        <v>5</v>
      </c>
      <c r="I21" s="46">
        <f t="shared" si="0"/>
        <v>0.7142857142857143</v>
      </c>
      <c r="J21" s="44">
        <v>95</v>
      </c>
      <c r="K21" s="44" t="s">
        <v>232</v>
      </c>
      <c r="L21" s="44">
        <v>95</v>
      </c>
      <c r="M21" s="44">
        <v>95</v>
      </c>
      <c r="N21" s="44" t="s">
        <v>295</v>
      </c>
      <c r="O21" s="45" t="s">
        <v>313</v>
      </c>
      <c r="P21" s="45" t="s">
        <v>314</v>
      </c>
      <c r="Q21" s="45" t="s">
        <v>315</v>
      </c>
    </row>
    <row r="22" spans="1:17" ht="266" customHeight="1">
      <c r="A22" s="44" t="s">
        <v>123</v>
      </c>
      <c r="B22" s="44" t="s">
        <v>316</v>
      </c>
      <c r="C22" s="45" t="s">
        <v>124</v>
      </c>
      <c r="D22" s="44" t="s">
        <v>202</v>
      </c>
      <c r="E22" s="44" t="s">
        <v>224</v>
      </c>
      <c r="F22" s="44" t="s">
        <v>317</v>
      </c>
      <c r="G22" s="44">
        <v>3</v>
      </c>
      <c r="H22" s="44">
        <v>0</v>
      </c>
      <c r="I22" s="46">
        <f t="shared" si="0"/>
        <v>0</v>
      </c>
      <c r="J22" s="44">
        <v>100</v>
      </c>
      <c r="K22" s="44" t="s">
        <v>221</v>
      </c>
      <c r="L22" s="44">
        <v>0</v>
      </c>
      <c r="M22" s="44">
        <v>90</v>
      </c>
      <c r="N22" s="44" t="s">
        <v>295</v>
      </c>
      <c r="O22" s="45" t="s">
        <v>318</v>
      </c>
      <c r="P22" s="45"/>
      <c r="Q22" s="45" t="s">
        <v>319</v>
      </c>
    </row>
    <row r="23" spans="1:17" ht="252" customHeight="1">
      <c r="A23" s="44" t="s">
        <v>123</v>
      </c>
      <c r="B23" s="44" t="s">
        <v>316</v>
      </c>
      <c r="C23" s="45" t="s">
        <v>124</v>
      </c>
      <c r="D23" s="44" t="s">
        <v>203</v>
      </c>
      <c r="E23" s="44" t="s">
        <v>320</v>
      </c>
      <c r="F23" s="44" t="s">
        <v>317</v>
      </c>
      <c r="G23" s="44">
        <v>3</v>
      </c>
      <c r="H23" s="44">
        <v>2</v>
      </c>
      <c r="I23" s="46">
        <f t="shared" si="0"/>
        <v>0.66666666666666663</v>
      </c>
      <c r="J23" s="44">
        <v>85</v>
      </c>
      <c r="K23" s="44" t="s">
        <v>232</v>
      </c>
      <c r="L23" s="44">
        <v>95</v>
      </c>
      <c r="M23" s="44">
        <v>85</v>
      </c>
      <c r="N23" s="44" t="s">
        <v>295</v>
      </c>
      <c r="O23" s="45" t="s">
        <v>321</v>
      </c>
      <c r="P23" s="45" t="s">
        <v>322</v>
      </c>
      <c r="Q23" s="45" t="s">
        <v>323</v>
      </c>
    </row>
    <row r="24" spans="1:17" ht="336" customHeight="1">
      <c r="A24" s="44" t="s">
        <v>123</v>
      </c>
      <c r="B24" s="44" t="s">
        <v>316</v>
      </c>
      <c r="C24" s="45" t="s">
        <v>124</v>
      </c>
      <c r="D24" s="44" t="s">
        <v>204</v>
      </c>
      <c r="E24" s="44" t="s">
        <v>324</v>
      </c>
      <c r="F24" s="44" t="s">
        <v>317</v>
      </c>
      <c r="G24" s="44">
        <v>3</v>
      </c>
      <c r="H24" s="44">
        <v>1</v>
      </c>
      <c r="I24" s="46">
        <f t="shared" si="0"/>
        <v>0.33333333333333331</v>
      </c>
      <c r="J24" s="44">
        <v>85</v>
      </c>
      <c r="K24" s="44" t="s">
        <v>232</v>
      </c>
      <c r="L24" s="44">
        <v>90</v>
      </c>
      <c r="M24" s="44">
        <v>95</v>
      </c>
      <c r="N24" s="44" t="s">
        <v>295</v>
      </c>
      <c r="O24" s="45" t="s">
        <v>325</v>
      </c>
      <c r="P24" s="45" t="s">
        <v>326</v>
      </c>
      <c r="Q24" s="45" t="s">
        <v>327</v>
      </c>
    </row>
    <row r="25" spans="1:17" ht="42" customHeight="1">
      <c r="A25" s="44" t="s">
        <v>150</v>
      </c>
      <c r="B25" s="44" t="s">
        <v>328</v>
      </c>
      <c r="C25" s="45" t="s">
        <v>151</v>
      </c>
      <c r="D25" s="44" t="s">
        <v>202</v>
      </c>
      <c r="E25" s="44" t="s">
        <v>234</v>
      </c>
      <c r="F25" s="44" t="s">
        <v>234</v>
      </c>
      <c r="G25" s="44">
        <v>0</v>
      </c>
      <c r="H25" s="44">
        <v>0</v>
      </c>
      <c r="I25" s="46" t="str">
        <f t="shared" si="0"/>
        <v>n/a</v>
      </c>
      <c r="J25" s="44" t="s">
        <v>329</v>
      </c>
      <c r="K25" s="44" t="s">
        <v>295</v>
      </c>
      <c r="L25" s="44" t="s">
        <v>295</v>
      </c>
      <c r="M25" s="44" t="s">
        <v>295</v>
      </c>
      <c r="N25" s="44" t="s">
        <v>221</v>
      </c>
      <c r="O25" s="45" t="s">
        <v>330</v>
      </c>
      <c r="P25" s="45"/>
      <c r="Q25" s="45"/>
    </row>
    <row r="26" spans="1:17" ht="140" customHeight="1">
      <c r="A26" s="44" t="s">
        <v>150</v>
      </c>
      <c r="B26" s="44" t="s">
        <v>328</v>
      </c>
      <c r="C26" s="45" t="s">
        <v>151</v>
      </c>
      <c r="D26" s="44" t="s">
        <v>203</v>
      </c>
      <c r="E26" s="44" t="s">
        <v>331</v>
      </c>
      <c r="F26" s="44" t="s">
        <v>234</v>
      </c>
      <c r="G26" s="44">
        <v>0</v>
      </c>
      <c r="H26" s="44">
        <v>0</v>
      </c>
      <c r="I26" s="46" t="str">
        <f t="shared" si="0"/>
        <v>n/a</v>
      </c>
      <c r="J26" s="44">
        <v>100</v>
      </c>
      <c r="K26" s="44" t="s">
        <v>221</v>
      </c>
      <c r="L26" s="44" t="s">
        <v>295</v>
      </c>
      <c r="M26" s="44">
        <v>100</v>
      </c>
      <c r="N26" s="44" t="s">
        <v>221</v>
      </c>
      <c r="O26" s="45" t="s">
        <v>332</v>
      </c>
      <c r="P26" s="45"/>
      <c r="Q26" s="45"/>
    </row>
    <row r="27" spans="1:17" ht="154" customHeight="1">
      <c r="A27" s="44" t="s">
        <v>150</v>
      </c>
      <c r="B27" s="44" t="s">
        <v>328</v>
      </c>
      <c r="C27" s="45" t="s">
        <v>151</v>
      </c>
      <c r="D27" s="44" t="s">
        <v>204</v>
      </c>
      <c r="E27" s="44" t="s">
        <v>331</v>
      </c>
      <c r="F27" s="44" t="s">
        <v>234</v>
      </c>
      <c r="G27" s="44">
        <v>0</v>
      </c>
      <c r="H27" s="44">
        <v>0</v>
      </c>
      <c r="I27" s="46" t="str">
        <f t="shared" si="0"/>
        <v>n/a</v>
      </c>
      <c r="J27" s="44">
        <v>100</v>
      </c>
      <c r="K27" s="44" t="s">
        <v>221</v>
      </c>
      <c r="L27" s="44" t="s">
        <v>295</v>
      </c>
      <c r="M27" s="44">
        <v>100</v>
      </c>
      <c r="N27" s="44" t="s">
        <v>221</v>
      </c>
      <c r="O27" s="45" t="s">
        <v>333</v>
      </c>
      <c r="P27" s="45"/>
      <c r="Q27" s="4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21"/>
  <sheetViews>
    <sheetView workbookViewId="0">
      <pane xSplit="4" ySplit="25" topLeftCell="E26" activePane="bottomRight" state="frozen"/>
      <selection pane="topRight"/>
      <selection pane="bottomLeft"/>
      <selection pane="bottomRight"/>
    </sheetView>
  </sheetViews>
  <sheetFormatPr defaultRowHeight="14"/>
  <cols>
    <col min="1" max="1" width="6" customWidth="1"/>
    <col min="2" max="2" width="11" customWidth="1"/>
    <col min="3" max="3" width="34" customWidth="1"/>
    <col min="4" max="4" width="12" customWidth="1"/>
    <col min="5" max="5" width="14" customWidth="1"/>
    <col min="6" max="6" width="12" customWidth="1"/>
    <col min="7" max="7" width="8" customWidth="1"/>
    <col min="8" max="9" width="10" customWidth="1"/>
    <col min="10" max="10" width="13" customWidth="1"/>
    <col min="11" max="11" width="10" customWidth="1"/>
    <col min="12" max="12" width="14" customWidth="1"/>
    <col min="13" max="13" width="16" customWidth="1"/>
    <col min="14" max="14" width="18" customWidth="1"/>
    <col min="15" max="15" width="10" customWidth="1"/>
    <col min="16" max="16" width="80" customWidth="1"/>
    <col min="17" max="18" width="50" customWidth="1"/>
  </cols>
  <sheetData>
    <row r="1" spans="1:9" ht="15.5" customHeight="1">
      <c r="A1" s="29" t="s">
        <v>334</v>
      </c>
    </row>
    <row r="3" spans="1:9" ht="45" customHeight="1">
      <c r="A3" s="47" t="s">
        <v>335</v>
      </c>
      <c r="B3" s="47" t="s">
        <v>193</v>
      </c>
      <c r="C3" s="47" t="s">
        <v>269</v>
      </c>
      <c r="D3" s="47" t="s">
        <v>270</v>
      </c>
      <c r="E3" s="47" t="s">
        <v>336</v>
      </c>
      <c r="F3" s="47" t="s">
        <v>271</v>
      </c>
      <c r="G3" s="47" t="s">
        <v>272</v>
      </c>
      <c r="H3" s="47" t="s">
        <v>337</v>
      </c>
      <c r="I3" s="47" t="s">
        <v>338</v>
      </c>
    </row>
    <row r="4" spans="1:9">
      <c r="A4" s="48">
        <v>5</v>
      </c>
      <c r="B4" s="48" t="s">
        <v>202</v>
      </c>
      <c r="C4" s="49">
        <f t="shared" ref="C4:C9" si="0">AVERAGEIFS($I$26:$I$121,$A$26:$A$121,$A4,$D$26:$D$121,$B4,$G$26:$G$121,"&gt;0")</f>
        <v>0.69982993197278898</v>
      </c>
      <c r="D4" s="50">
        <f t="shared" ref="D4:D9" si="1">AVERAGEIFS($J$26:$J$121,$A$26:$A$121,$A4,$D$26:$D$121,$B4,$G$26:$G$121,"&gt;0")</f>
        <v>89.071428571428569</v>
      </c>
      <c r="E4" s="49">
        <f t="shared" ref="E4:E9" si="2">COUNTIFS($A$26:$A$121,$A4,$D$26:$D$121,$B4,$G$26:$G$121,"&gt;0",$K$26:$K$121,"Yes")/COUNTIFS($A$26:$A$121,$A4,$D$26:$D$121,$B4,$G$26:$G$121,"&gt;0",$K$26:$K$121,"&lt;&gt;n/a")</f>
        <v>0.2857142857142857</v>
      </c>
      <c r="F4" s="50">
        <f t="shared" ref="F4:F9" si="3">AVERAGEIFS($L$26:$L$121,$A$26:$A$121,$A4,$D$26:$D$121,$B4,$G$26:$G$121,"&gt;0")</f>
        <v>79.071428571428569</v>
      </c>
      <c r="G4" s="50">
        <f t="shared" ref="G4:G9" si="4">AVERAGEIFS($M$26:$M$121,$A$26:$A$121,$A4,$D$26:$D$121,$B4,$G$26:$G$121,"&gt;0")</f>
        <v>96.071428571428569</v>
      </c>
      <c r="H4" s="51">
        <f t="shared" ref="H4:H9" si="5">COUNTIFS($A$26:$A$121,$A4,$D$26:$D$121,$B4,$N$26:$N$121,"Yes")</f>
        <v>2</v>
      </c>
      <c r="I4" s="51">
        <f t="shared" ref="I4:I9" si="6">COUNTIFS($A$26:$A$121,$A4,$D$26:$D$121,$B4,$O$26:$O$121,"&lt;&gt;")</f>
        <v>0</v>
      </c>
    </row>
    <row r="5" spans="1:9">
      <c r="A5" s="48">
        <v>5</v>
      </c>
      <c r="B5" s="48" t="s">
        <v>203</v>
      </c>
      <c r="C5" s="49">
        <f t="shared" si="0"/>
        <v>0.73724489795918369</v>
      </c>
      <c r="D5" s="50">
        <f t="shared" si="1"/>
        <v>88.571428571428569</v>
      </c>
      <c r="E5" s="49">
        <f t="shared" si="2"/>
        <v>7.1428571428571425E-2</v>
      </c>
      <c r="F5" s="50">
        <f t="shared" si="3"/>
        <v>82.857142857142861</v>
      </c>
      <c r="G5" s="50">
        <f t="shared" si="4"/>
        <v>94.642857142857139</v>
      </c>
      <c r="H5" s="51">
        <f t="shared" si="5"/>
        <v>2</v>
      </c>
      <c r="I5" s="51">
        <f t="shared" si="6"/>
        <v>0</v>
      </c>
    </row>
    <row r="6" spans="1:9">
      <c r="A6" s="48">
        <v>5</v>
      </c>
      <c r="B6" s="48" t="s">
        <v>204</v>
      </c>
      <c r="C6" s="49">
        <f t="shared" si="0"/>
        <v>0.75935374149659862</v>
      </c>
      <c r="D6" s="50">
        <f t="shared" si="1"/>
        <v>86.071428571428569</v>
      </c>
      <c r="E6" s="49">
        <f t="shared" si="2"/>
        <v>0.21428571428571427</v>
      </c>
      <c r="F6" s="50">
        <f t="shared" si="3"/>
        <v>86.071428571428569</v>
      </c>
      <c r="G6" s="50">
        <f t="shared" si="4"/>
        <v>95.357142857142861</v>
      </c>
      <c r="H6" s="51">
        <f t="shared" si="5"/>
        <v>2</v>
      </c>
      <c r="I6" s="51">
        <f t="shared" si="6"/>
        <v>0</v>
      </c>
    </row>
    <row r="7" spans="1:9">
      <c r="A7" s="48">
        <v>10</v>
      </c>
      <c r="B7" s="48" t="s">
        <v>202</v>
      </c>
      <c r="C7" s="49">
        <f t="shared" si="0"/>
        <v>0.75595238095238082</v>
      </c>
      <c r="D7" s="50">
        <f t="shared" si="1"/>
        <v>88</v>
      </c>
      <c r="E7" s="49">
        <f t="shared" si="2"/>
        <v>0.2857142857142857</v>
      </c>
      <c r="F7" s="50">
        <f t="shared" si="3"/>
        <v>80.142857142857139</v>
      </c>
      <c r="G7" s="50">
        <f t="shared" si="4"/>
        <v>95.714285714285708</v>
      </c>
      <c r="H7" s="51">
        <f t="shared" si="5"/>
        <v>2</v>
      </c>
      <c r="I7" s="51">
        <f t="shared" si="6"/>
        <v>14</v>
      </c>
    </row>
    <row r="8" spans="1:9">
      <c r="A8" s="48">
        <v>10</v>
      </c>
      <c r="B8" s="48" t="s">
        <v>203</v>
      </c>
      <c r="C8" s="49">
        <f t="shared" si="0"/>
        <v>0.83078231292517002</v>
      </c>
      <c r="D8" s="50">
        <f t="shared" si="1"/>
        <v>86.785714285714292</v>
      </c>
      <c r="E8" s="49">
        <f t="shared" si="2"/>
        <v>7.1428571428571425E-2</v>
      </c>
      <c r="F8" s="50">
        <f t="shared" si="3"/>
        <v>85</v>
      </c>
      <c r="G8" s="50">
        <f t="shared" si="4"/>
        <v>93.928571428571431</v>
      </c>
      <c r="H8" s="51">
        <f t="shared" si="5"/>
        <v>2</v>
      </c>
      <c r="I8" s="51">
        <f t="shared" si="6"/>
        <v>4</v>
      </c>
    </row>
    <row r="9" spans="1:9">
      <c r="A9" s="48">
        <v>10</v>
      </c>
      <c r="B9" s="48" t="s">
        <v>204</v>
      </c>
      <c r="C9" s="49">
        <f t="shared" si="0"/>
        <v>0.88690476190476186</v>
      </c>
      <c r="D9" s="50">
        <f t="shared" si="1"/>
        <v>88.928571428571431</v>
      </c>
      <c r="E9" s="49">
        <f t="shared" si="2"/>
        <v>0.14285714285714285</v>
      </c>
      <c r="F9" s="50">
        <f t="shared" si="3"/>
        <v>88.928571428571431</v>
      </c>
      <c r="G9" s="50">
        <f t="shared" si="4"/>
        <v>93.214285714285708</v>
      </c>
      <c r="H9" s="51">
        <f t="shared" si="5"/>
        <v>2</v>
      </c>
      <c r="I9" s="51">
        <f t="shared" si="6"/>
        <v>4</v>
      </c>
    </row>
    <row r="12" spans="1:9" ht="45" customHeight="1">
      <c r="A12" s="47" t="s">
        <v>335</v>
      </c>
      <c r="B12" s="47" t="s">
        <v>339</v>
      </c>
      <c r="C12" s="47" t="s">
        <v>340</v>
      </c>
      <c r="D12" s="47" t="s">
        <v>341</v>
      </c>
    </row>
    <row r="13" spans="1:9">
      <c r="A13" s="48">
        <v>5</v>
      </c>
      <c r="B13" s="52">
        <f>CORREL(I26:I73,L26:L73)</f>
        <v>0.85739370502359336</v>
      </c>
      <c r="C13" s="52">
        <f>CORREL(I26:I73,J26:J73)</f>
        <v>-0.16474252387121024</v>
      </c>
      <c r="D13" s="51">
        <f>COUNTIFS(A26:A73,5,G26:G73,"&gt;0")</f>
        <v>42</v>
      </c>
    </row>
    <row r="14" spans="1:9">
      <c r="A14" s="48">
        <v>10</v>
      </c>
      <c r="B14" s="52">
        <f>CORREL(I74:I121,L74:L121)</f>
        <v>0.91109968312934364</v>
      </c>
      <c r="C14" s="52">
        <f>CORREL(I74:I121,J74:J121)</f>
        <v>-0.23530528672108694</v>
      </c>
      <c r="D14" s="51">
        <f>COUNTIFS(A74:A121,10,G74:G121,"&gt;0")</f>
        <v>42</v>
      </c>
    </row>
    <row r="17" spans="1:18">
      <c r="A17" s="36" t="s">
        <v>274</v>
      </c>
    </row>
    <row r="18" spans="1:18">
      <c r="A18" s="37" t="s">
        <v>342</v>
      </c>
    </row>
    <row r="19" spans="1:18">
      <c r="A19" s="37" t="s">
        <v>343</v>
      </c>
    </row>
    <row r="20" spans="1:18">
      <c r="A20" s="37" t="s">
        <v>344</v>
      </c>
    </row>
    <row r="21" spans="1:18">
      <c r="A21" s="37" t="s">
        <v>345</v>
      </c>
    </row>
    <row r="22" spans="1:18">
      <c r="A22" s="37" t="s">
        <v>346</v>
      </c>
    </row>
    <row r="25" spans="1:18" ht="60" customHeight="1">
      <c r="A25" s="47" t="s">
        <v>335</v>
      </c>
      <c r="B25" s="47" t="s">
        <v>0</v>
      </c>
      <c r="C25" s="47" t="s">
        <v>1</v>
      </c>
      <c r="D25" s="47" t="s">
        <v>193</v>
      </c>
      <c r="E25" s="47" t="s">
        <v>281</v>
      </c>
      <c r="F25" s="47" t="s">
        <v>282</v>
      </c>
      <c r="G25" s="47" t="s">
        <v>283</v>
      </c>
      <c r="H25" s="47" t="s">
        <v>284</v>
      </c>
      <c r="I25" s="47" t="s">
        <v>285</v>
      </c>
      <c r="J25" s="47" t="s">
        <v>286</v>
      </c>
      <c r="K25" s="47" t="s">
        <v>287</v>
      </c>
      <c r="L25" s="47" t="s">
        <v>288</v>
      </c>
      <c r="M25" s="47" t="s">
        <v>289</v>
      </c>
      <c r="N25" s="47" t="s">
        <v>290</v>
      </c>
      <c r="O25" s="47" t="s">
        <v>347</v>
      </c>
      <c r="P25" s="47" t="s">
        <v>291</v>
      </c>
      <c r="Q25" s="47" t="s">
        <v>292</v>
      </c>
      <c r="R25" s="47" t="s">
        <v>293</v>
      </c>
    </row>
    <row r="26" spans="1:18" ht="350" customHeight="1">
      <c r="A26" s="53">
        <v>5</v>
      </c>
      <c r="B26" s="53" t="s">
        <v>117</v>
      </c>
      <c r="C26" s="54" t="s">
        <v>118</v>
      </c>
      <c r="D26" s="53" t="s">
        <v>202</v>
      </c>
      <c r="E26" s="53" t="s">
        <v>222</v>
      </c>
      <c r="F26" s="53" t="s">
        <v>348</v>
      </c>
      <c r="G26" s="53">
        <v>3</v>
      </c>
      <c r="H26" s="53">
        <v>2</v>
      </c>
      <c r="I26" s="55">
        <f t="shared" ref="I26:I57" si="7">IF(G26=0,"n/a",H26/G26)</f>
        <v>0.66666666666666663</v>
      </c>
      <c r="J26" s="53">
        <v>80</v>
      </c>
      <c r="K26" s="53" t="s">
        <v>232</v>
      </c>
      <c r="L26" s="53">
        <v>100</v>
      </c>
      <c r="M26" s="53">
        <v>100</v>
      </c>
      <c r="N26" s="53" t="s">
        <v>295</v>
      </c>
      <c r="O26" s="53"/>
      <c r="P26" s="54" t="s">
        <v>349</v>
      </c>
      <c r="Q26" s="54" t="s">
        <v>350</v>
      </c>
      <c r="R26" s="54"/>
    </row>
    <row r="27" spans="1:18" ht="322" customHeight="1">
      <c r="A27" s="53">
        <v>5</v>
      </c>
      <c r="B27" s="53" t="s">
        <v>117</v>
      </c>
      <c r="C27" s="54" t="s">
        <v>118</v>
      </c>
      <c r="D27" s="53" t="s">
        <v>203</v>
      </c>
      <c r="E27" s="53" t="s">
        <v>351</v>
      </c>
      <c r="F27" s="53" t="s">
        <v>348</v>
      </c>
      <c r="G27" s="53">
        <v>3</v>
      </c>
      <c r="H27" s="53">
        <v>2</v>
      </c>
      <c r="I27" s="55">
        <f t="shared" si="7"/>
        <v>0.66666666666666663</v>
      </c>
      <c r="J27" s="53">
        <v>85</v>
      </c>
      <c r="K27" s="53" t="s">
        <v>232</v>
      </c>
      <c r="L27" s="53">
        <v>95</v>
      </c>
      <c r="M27" s="53">
        <v>100</v>
      </c>
      <c r="N27" s="53" t="s">
        <v>295</v>
      </c>
      <c r="O27" s="53"/>
      <c r="P27" s="54" t="s">
        <v>352</v>
      </c>
      <c r="Q27" s="54" t="s">
        <v>353</v>
      </c>
      <c r="R27" s="54" t="s">
        <v>354</v>
      </c>
    </row>
    <row r="28" spans="1:18" ht="210" customHeight="1">
      <c r="A28" s="53">
        <v>5</v>
      </c>
      <c r="B28" s="53" t="s">
        <v>117</v>
      </c>
      <c r="C28" s="54" t="s">
        <v>118</v>
      </c>
      <c r="D28" s="53" t="s">
        <v>204</v>
      </c>
      <c r="E28" s="53" t="s">
        <v>355</v>
      </c>
      <c r="F28" s="53" t="s">
        <v>348</v>
      </c>
      <c r="G28" s="53">
        <v>3</v>
      </c>
      <c r="H28" s="53">
        <v>2</v>
      </c>
      <c r="I28" s="55">
        <f t="shared" si="7"/>
        <v>0.66666666666666663</v>
      </c>
      <c r="J28" s="53">
        <v>90</v>
      </c>
      <c r="K28" s="53" t="s">
        <v>232</v>
      </c>
      <c r="L28" s="53">
        <v>95</v>
      </c>
      <c r="M28" s="53">
        <v>100</v>
      </c>
      <c r="N28" s="53" t="s">
        <v>295</v>
      </c>
      <c r="O28" s="53"/>
      <c r="P28" s="54" t="s">
        <v>356</v>
      </c>
      <c r="Q28" s="54" t="s">
        <v>357</v>
      </c>
      <c r="R28" s="54" t="s">
        <v>358</v>
      </c>
    </row>
    <row r="29" spans="1:18" ht="280" customHeight="1">
      <c r="A29" s="53">
        <v>5</v>
      </c>
      <c r="B29" s="53" t="s">
        <v>120</v>
      </c>
      <c r="C29" s="54" t="s">
        <v>121</v>
      </c>
      <c r="D29" s="53" t="s">
        <v>202</v>
      </c>
      <c r="E29" s="53" t="s">
        <v>223</v>
      </c>
      <c r="F29" s="53" t="s">
        <v>359</v>
      </c>
      <c r="G29" s="53">
        <v>2</v>
      </c>
      <c r="H29" s="53">
        <v>2</v>
      </c>
      <c r="I29" s="55">
        <f t="shared" si="7"/>
        <v>1</v>
      </c>
      <c r="J29" s="53">
        <v>90</v>
      </c>
      <c r="K29" s="53" t="s">
        <v>232</v>
      </c>
      <c r="L29" s="53">
        <v>100</v>
      </c>
      <c r="M29" s="53">
        <v>95</v>
      </c>
      <c r="N29" s="53" t="s">
        <v>295</v>
      </c>
      <c r="O29" s="53"/>
      <c r="P29" s="54" t="s">
        <v>360</v>
      </c>
      <c r="Q29" s="54" t="s">
        <v>361</v>
      </c>
      <c r="R29" s="54"/>
    </row>
    <row r="30" spans="1:18" ht="224" customHeight="1">
      <c r="A30" s="53">
        <v>5</v>
      </c>
      <c r="B30" s="53" t="s">
        <v>120</v>
      </c>
      <c r="C30" s="54" t="s">
        <v>121</v>
      </c>
      <c r="D30" s="53" t="s">
        <v>203</v>
      </c>
      <c r="E30" s="53" t="s">
        <v>362</v>
      </c>
      <c r="F30" s="53" t="s">
        <v>359</v>
      </c>
      <c r="G30" s="53">
        <v>2</v>
      </c>
      <c r="H30" s="53">
        <v>2</v>
      </c>
      <c r="I30" s="55">
        <f t="shared" si="7"/>
        <v>1</v>
      </c>
      <c r="J30" s="53">
        <v>95</v>
      </c>
      <c r="K30" s="53" t="s">
        <v>232</v>
      </c>
      <c r="L30" s="53">
        <v>100</v>
      </c>
      <c r="M30" s="53">
        <v>95</v>
      </c>
      <c r="N30" s="53" t="s">
        <v>295</v>
      </c>
      <c r="O30" s="53"/>
      <c r="P30" s="54" t="s">
        <v>363</v>
      </c>
      <c r="Q30" s="54" t="s">
        <v>364</v>
      </c>
      <c r="R30" s="54"/>
    </row>
    <row r="31" spans="1:18" ht="196" customHeight="1">
      <c r="A31" s="53">
        <v>5</v>
      </c>
      <c r="B31" s="53" t="s">
        <v>120</v>
      </c>
      <c r="C31" s="54" t="s">
        <v>121</v>
      </c>
      <c r="D31" s="53" t="s">
        <v>204</v>
      </c>
      <c r="E31" s="53" t="s">
        <v>365</v>
      </c>
      <c r="F31" s="53" t="s">
        <v>359</v>
      </c>
      <c r="G31" s="53">
        <v>2</v>
      </c>
      <c r="H31" s="53">
        <v>2</v>
      </c>
      <c r="I31" s="55">
        <f t="shared" si="7"/>
        <v>1</v>
      </c>
      <c r="J31" s="53">
        <v>100</v>
      </c>
      <c r="K31" s="53" t="s">
        <v>221</v>
      </c>
      <c r="L31" s="53">
        <v>100</v>
      </c>
      <c r="M31" s="53">
        <v>100</v>
      </c>
      <c r="N31" s="53" t="s">
        <v>295</v>
      </c>
      <c r="O31" s="53"/>
      <c r="P31" s="54" t="s">
        <v>366</v>
      </c>
      <c r="Q31" s="54"/>
      <c r="R31" s="54"/>
    </row>
    <row r="32" spans="1:18" ht="168" customHeight="1">
      <c r="A32" s="53">
        <v>5</v>
      </c>
      <c r="B32" s="53" t="s">
        <v>123</v>
      </c>
      <c r="C32" s="54" t="s">
        <v>124</v>
      </c>
      <c r="D32" s="53" t="s">
        <v>202</v>
      </c>
      <c r="E32" s="53" t="s">
        <v>224</v>
      </c>
      <c r="F32" s="53" t="s">
        <v>317</v>
      </c>
      <c r="G32" s="53">
        <v>3</v>
      </c>
      <c r="H32" s="53">
        <v>0</v>
      </c>
      <c r="I32" s="55">
        <f t="shared" si="7"/>
        <v>0</v>
      </c>
      <c r="J32" s="53">
        <v>90</v>
      </c>
      <c r="K32" s="53" t="s">
        <v>232</v>
      </c>
      <c r="L32" s="53">
        <v>0</v>
      </c>
      <c r="M32" s="53">
        <v>90</v>
      </c>
      <c r="N32" s="53" t="s">
        <v>295</v>
      </c>
      <c r="O32" s="53"/>
      <c r="P32" s="54" t="s">
        <v>367</v>
      </c>
      <c r="Q32" s="54" t="s">
        <v>368</v>
      </c>
      <c r="R32" s="54" t="s">
        <v>369</v>
      </c>
    </row>
    <row r="33" spans="1:18" ht="378" customHeight="1">
      <c r="A33" s="53">
        <v>5</v>
      </c>
      <c r="B33" s="53" t="s">
        <v>123</v>
      </c>
      <c r="C33" s="54" t="s">
        <v>124</v>
      </c>
      <c r="D33" s="53" t="s">
        <v>203</v>
      </c>
      <c r="E33" s="53" t="s">
        <v>320</v>
      </c>
      <c r="F33" s="53" t="s">
        <v>317</v>
      </c>
      <c r="G33" s="53">
        <v>3</v>
      </c>
      <c r="H33" s="53">
        <v>2</v>
      </c>
      <c r="I33" s="55">
        <f t="shared" si="7"/>
        <v>0.66666666666666663</v>
      </c>
      <c r="J33" s="53">
        <v>75</v>
      </c>
      <c r="K33" s="53" t="s">
        <v>232</v>
      </c>
      <c r="L33" s="53">
        <v>85</v>
      </c>
      <c r="M33" s="53">
        <v>95</v>
      </c>
      <c r="N33" s="53" t="s">
        <v>295</v>
      </c>
      <c r="O33" s="53"/>
      <c r="P33" s="54" t="s">
        <v>370</v>
      </c>
      <c r="Q33" s="54" t="s">
        <v>371</v>
      </c>
      <c r="R33" s="54" t="s">
        <v>372</v>
      </c>
    </row>
    <row r="34" spans="1:18" ht="378" customHeight="1">
      <c r="A34" s="53">
        <v>5</v>
      </c>
      <c r="B34" s="53" t="s">
        <v>123</v>
      </c>
      <c r="C34" s="54" t="s">
        <v>124</v>
      </c>
      <c r="D34" s="53" t="s">
        <v>204</v>
      </c>
      <c r="E34" s="53" t="s">
        <v>324</v>
      </c>
      <c r="F34" s="53" t="s">
        <v>317</v>
      </c>
      <c r="G34" s="53">
        <v>3</v>
      </c>
      <c r="H34" s="53">
        <v>1</v>
      </c>
      <c r="I34" s="55">
        <f t="shared" si="7"/>
        <v>0.33333333333333331</v>
      </c>
      <c r="J34" s="53">
        <v>75</v>
      </c>
      <c r="K34" s="53" t="s">
        <v>232</v>
      </c>
      <c r="L34" s="53">
        <v>85</v>
      </c>
      <c r="M34" s="53">
        <v>95</v>
      </c>
      <c r="N34" s="53" t="s">
        <v>295</v>
      </c>
      <c r="O34" s="53"/>
      <c r="P34" s="54" t="s">
        <v>373</v>
      </c>
      <c r="Q34" s="54" t="s">
        <v>374</v>
      </c>
      <c r="R34" s="54" t="s">
        <v>375</v>
      </c>
    </row>
    <row r="35" spans="1:18" ht="364" customHeight="1">
      <c r="A35" s="53">
        <v>5</v>
      </c>
      <c r="B35" s="53" t="s">
        <v>126</v>
      </c>
      <c r="C35" s="54" t="s">
        <v>127</v>
      </c>
      <c r="D35" s="53" t="s">
        <v>202</v>
      </c>
      <c r="E35" s="53" t="s">
        <v>225</v>
      </c>
      <c r="F35" s="53" t="s">
        <v>376</v>
      </c>
      <c r="G35" s="53">
        <v>2</v>
      </c>
      <c r="H35" s="53">
        <v>2</v>
      </c>
      <c r="I35" s="55">
        <f t="shared" si="7"/>
        <v>1</v>
      </c>
      <c r="J35" s="53">
        <v>72</v>
      </c>
      <c r="K35" s="53" t="s">
        <v>232</v>
      </c>
      <c r="L35" s="53">
        <v>95</v>
      </c>
      <c r="M35" s="53">
        <v>95</v>
      </c>
      <c r="N35" s="53" t="s">
        <v>295</v>
      </c>
      <c r="O35" s="53"/>
      <c r="P35" s="54" t="s">
        <v>377</v>
      </c>
      <c r="Q35" s="54" t="s">
        <v>378</v>
      </c>
      <c r="R35" s="54" t="s">
        <v>379</v>
      </c>
    </row>
    <row r="36" spans="1:18" ht="392" customHeight="1">
      <c r="A36" s="53">
        <v>5</v>
      </c>
      <c r="B36" s="53" t="s">
        <v>126</v>
      </c>
      <c r="C36" s="54" t="s">
        <v>127</v>
      </c>
      <c r="D36" s="53" t="s">
        <v>203</v>
      </c>
      <c r="E36" s="53" t="s">
        <v>380</v>
      </c>
      <c r="F36" s="53" t="s">
        <v>376</v>
      </c>
      <c r="G36" s="53">
        <v>2</v>
      </c>
      <c r="H36" s="53">
        <v>2</v>
      </c>
      <c r="I36" s="55">
        <f t="shared" si="7"/>
        <v>1</v>
      </c>
      <c r="J36" s="53">
        <v>80</v>
      </c>
      <c r="K36" s="53" t="s">
        <v>232</v>
      </c>
      <c r="L36" s="53">
        <v>100</v>
      </c>
      <c r="M36" s="53">
        <v>95</v>
      </c>
      <c r="N36" s="53" t="s">
        <v>295</v>
      </c>
      <c r="O36" s="53"/>
      <c r="P36" s="54" t="s">
        <v>381</v>
      </c>
      <c r="Q36" s="54" t="s">
        <v>382</v>
      </c>
      <c r="R36" s="54"/>
    </row>
    <row r="37" spans="1:18" ht="364" customHeight="1">
      <c r="A37" s="53">
        <v>5</v>
      </c>
      <c r="B37" s="53" t="s">
        <v>126</v>
      </c>
      <c r="C37" s="54" t="s">
        <v>127</v>
      </c>
      <c r="D37" s="53" t="s">
        <v>204</v>
      </c>
      <c r="E37" s="53" t="s">
        <v>383</v>
      </c>
      <c r="F37" s="53" t="s">
        <v>376</v>
      </c>
      <c r="G37" s="53">
        <v>2</v>
      </c>
      <c r="H37" s="53">
        <v>2</v>
      </c>
      <c r="I37" s="55">
        <f t="shared" si="7"/>
        <v>1</v>
      </c>
      <c r="J37" s="53">
        <v>60</v>
      </c>
      <c r="K37" s="53" t="s">
        <v>232</v>
      </c>
      <c r="L37" s="53">
        <v>100</v>
      </c>
      <c r="M37" s="53">
        <v>100</v>
      </c>
      <c r="N37" s="53" t="s">
        <v>295</v>
      </c>
      <c r="O37" s="53"/>
      <c r="P37" s="54" t="s">
        <v>384</v>
      </c>
      <c r="Q37" s="54" t="s">
        <v>385</v>
      </c>
      <c r="R37" s="54"/>
    </row>
    <row r="38" spans="1:18" ht="392" customHeight="1">
      <c r="A38" s="53">
        <v>5</v>
      </c>
      <c r="B38" s="53" t="s">
        <v>129</v>
      </c>
      <c r="C38" s="54" t="s">
        <v>130</v>
      </c>
      <c r="D38" s="53" t="s">
        <v>202</v>
      </c>
      <c r="E38" s="53" t="s">
        <v>226</v>
      </c>
      <c r="F38" s="53" t="s">
        <v>386</v>
      </c>
      <c r="G38" s="53">
        <v>4</v>
      </c>
      <c r="H38" s="53">
        <v>3</v>
      </c>
      <c r="I38" s="55">
        <f t="shared" si="7"/>
        <v>0.75</v>
      </c>
      <c r="J38" s="53">
        <v>75</v>
      </c>
      <c r="K38" s="53" t="s">
        <v>232</v>
      </c>
      <c r="L38" s="53">
        <v>92</v>
      </c>
      <c r="M38" s="53">
        <v>95</v>
      </c>
      <c r="N38" s="53" t="s">
        <v>295</v>
      </c>
      <c r="O38" s="53"/>
      <c r="P38" s="54" t="s">
        <v>387</v>
      </c>
      <c r="Q38" s="54" t="s">
        <v>388</v>
      </c>
      <c r="R38" s="54" t="s">
        <v>389</v>
      </c>
    </row>
    <row r="39" spans="1:18" ht="280" customHeight="1">
      <c r="A39" s="53">
        <v>5</v>
      </c>
      <c r="B39" s="53" t="s">
        <v>129</v>
      </c>
      <c r="C39" s="54" t="s">
        <v>130</v>
      </c>
      <c r="D39" s="53" t="s">
        <v>203</v>
      </c>
      <c r="E39" s="53" t="s">
        <v>390</v>
      </c>
      <c r="F39" s="53" t="s">
        <v>386</v>
      </c>
      <c r="G39" s="53">
        <v>4</v>
      </c>
      <c r="H39" s="53">
        <v>3</v>
      </c>
      <c r="I39" s="55">
        <f t="shared" si="7"/>
        <v>0.75</v>
      </c>
      <c r="J39" s="53">
        <v>85</v>
      </c>
      <c r="K39" s="53" t="s">
        <v>232</v>
      </c>
      <c r="L39" s="53">
        <v>90</v>
      </c>
      <c r="M39" s="53">
        <v>95</v>
      </c>
      <c r="N39" s="53" t="s">
        <v>295</v>
      </c>
      <c r="O39" s="53"/>
      <c r="P39" s="54" t="s">
        <v>391</v>
      </c>
      <c r="Q39" s="54" t="s">
        <v>392</v>
      </c>
      <c r="R39" s="54" t="s">
        <v>393</v>
      </c>
    </row>
    <row r="40" spans="1:18" ht="294" customHeight="1">
      <c r="A40" s="53">
        <v>5</v>
      </c>
      <c r="B40" s="53" t="s">
        <v>129</v>
      </c>
      <c r="C40" s="54" t="s">
        <v>130</v>
      </c>
      <c r="D40" s="53" t="s">
        <v>204</v>
      </c>
      <c r="E40" s="53" t="s">
        <v>394</v>
      </c>
      <c r="F40" s="53" t="s">
        <v>386</v>
      </c>
      <c r="G40" s="53">
        <v>4</v>
      </c>
      <c r="H40" s="53">
        <v>3</v>
      </c>
      <c r="I40" s="55">
        <f t="shared" si="7"/>
        <v>0.75</v>
      </c>
      <c r="J40" s="53">
        <v>80</v>
      </c>
      <c r="K40" s="53" t="s">
        <v>232</v>
      </c>
      <c r="L40" s="53">
        <v>90</v>
      </c>
      <c r="M40" s="53">
        <v>95</v>
      </c>
      <c r="N40" s="53" t="s">
        <v>295</v>
      </c>
      <c r="O40" s="53"/>
      <c r="P40" s="54" t="s">
        <v>395</v>
      </c>
      <c r="Q40" s="54" t="s">
        <v>396</v>
      </c>
      <c r="R40" s="54" t="s">
        <v>397</v>
      </c>
    </row>
    <row r="41" spans="1:18" ht="238" customHeight="1">
      <c r="A41" s="53">
        <v>5</v>
      </c>
      <c r="B41" s="53" t="s">
        <v>132</v>
      </c>
      <c r="C41" s="54" t="s">
        <v>133</v>
      </c>
      <c r="D41" s="53" t="s">
        <v>202</v>
      </c>
      <c r="E41" s="53" t="s">
        <v>303</v>
      </c>
      <c r="F41" s="53" t="s">
        <v>304</v>
      </c>
      <c r="G41" s="53">
        <v>7</v>
      </c>
      <c r="H41" s="53">
        <v>5</v>
      </c>
      <c r="I41" s="55">
        <f t="shared" si="7"/>
        <v>0.7142857142857143</v>
      </c>
      <c r="J41" s="53">
        <v>85</v>
      </c>
      <c r="K41" s="53" t="s">
        <v>232</v>
      </c>
      <c r="L41" s="53">
        <v>95</v>
      </c>
      <c r="M41" s="53">
        <v>95</v>
      </c>
      <c r="N41" s="53" t="s">
        <v>295</v>
      </c>
      <c r="O41" s="53"/>
      <c r="P41" s="54" t="s">
        <v>398</v>
      </c>
      <c r="Q41" s="54" t="s">
        <v>399</v>
      </c>
      <c r="R41" s="54" t="s">
        <v>400</v>
      </c>
    </row>
    <row r="42" spans="1:18" ht="280" customHeight="1">
      <c r="A42" s="53">
        <v>5</v>
      </c>
      <c r="B42" s="53" t="s">
        <v>132</v>
      </c>
      <c r="C42" s="54" t="s">
        <v>133</v>
      </c>
      <c r="D42" s="53" t="s">
        <v>203</v>
      </c>
      <c r="E42" s="53" t="s">
        <v>308</v>
      </c>
      <c r="F42" s="53" t="s">
        <v>304</v>
      </c>
      <c r="G42" s="53">
        <v>7</v>
      </c>
      <c r="H42" s="53">
        <v>4</v>
      </c>
      <c r="I42" s="55">
        <f t="shared" si="7"/>
        <v>0.5714285714285714</v>
      </c>
      <c r="J42" s="53">
        <v>90</v>
      </c>
      <c r="K42" s="53" t="s">
        <v>232</v>
      </c>
      <c r="L42" s="53">
        <v>90</v>
      </c>
      <c r="M42" s="53">
        <v>90</v>
      </c>
      <c r="N42" s="53" t="s">
        <v>295</v>
      </c>
      <c r="O42" s="53"/>
      <c r="P42" s="54" t="s">
        <v>401</v>
      </c>
      <c r="Q42" s="54" t="s">
        <v>402</v>
      </c>
      <c r="R42" s="54" t="s">
        <v>403</v>
      </c>
    </row>
    <row r="43" spans="1:18" ht="294" customHeight="1">
      <c r="A43" s="53">
        <v>5</v>
      </c>
      <c r="B43" s="53" t="s">
        <v>132</v>
      </c>
      <c r="C43" s="54" t="s">
        <v>133</v>
      </c>
      <c r="D43" s="53" t="s">
        <v>204</v>
      </c>
      <c r="E43" s="53" t="s">
        <v>312</v>
      </c>
      <c r="F43" s="53" t="s">
        <v>304</v>
      </c>
      <c r="G43" s="53">
        <v>7</v>
      </c>
      <c r="H43" s="53">
        <v>5</v>
      </c>
      <c r="I43" s="55">
        <f t="shared" si="7"/>
        <v>0.7142857142857143</v>
      </c>
      <c r="J43" s="53">
        <v>85</v>
      </c>
      <c r="K43" s="53" t="s">
        <v>232</v>
      </c>
      <c r="L43" s="53">
        <v>95</v>
      </c>
      <c r="M43" s="53">
        <v>95</v>
      </c>
      <c r="N43" s="53" t="s">
        <v>295</v>
      </c>
      <c r="O43" s="53"/>
      <c r="P43" s="54" t="s">
        <v>404</v>
      </c>
      <c r="Q43" s="54" t="s">
        <v>405</v>
      </c>
      <c r="R43" s="54" t="s">
        <v>406</v>
      </c>
    </row>
    <row r="44" spans="1:18" ht="112" customHeight="1">
      <c r="A44" s="53">
        <v>5</v>
      </c>
      <c r="B44" s="53" t="s">
        <v>135</v>
      </c>
      <c r="C44" s="54" t="s">
        <v>136</v>
      </c>
      <c r="D44" s="53" t="s">
        <v>202</v>
      </c>
      <c r="E44" s="53" t="s">
        <v>228</v>
      </c>
      <c r="F44" s="53" t="s">
        <v>407</v>
      </c>
      <c r="G44" s="53">
        <v>1</v>
      </c>
      <c r="H44" s="53">
        <v>0</v>
      </c>
      <c r="I44" s="55">
        <f t="shared" si="7"/>
        <v>0</v>
      </c>
      <c r="J44" s="53">
        <v>100</v>
      </c>
      <c r="K44" s="53" t="s">
        <v>221</v>
      </c>
      <c r="L44" s="53">
        <v>0</v>
      </c>
      <c r="M44" s="53">
        <v>100</v>
      </c>
      <c r="N44" s="53" t="s">
        <v>295</v>
      </c>
      <c r="O44" s="53"/>
      <c r="P44" s="54" t="s">
        <v>408</v>
      </c>
      <c r="Q44" s="54"/>
      <c r="R44" s="54" t="s">
        <v>409</v>
      </c>
    </row>
    <row r="45" spans="1:18" ht="140" customHeight="1">
      <c r="A45" s="53">
        <v>5</v>
      </c>
      <c r="B45" s="53" t="s">
        <v>135</v>
      </c>
      <c r="C45" s="54" t="s">
        <v>136</v>
      </c>
      <c r="D45" s="53" t="s">
        <v>203</v>
      </c>
      <c r="E45" s="53" t="s">
        <v>244</v>
      </c>
      <c r="F45" s="53" t="s">
        <v>407</v>
      </c>
      <c r="G45" s="53">
        <v>1</v>
      </c>
      <c r="H45" s="53">
        <v>0</v>
      </c>
      <c r="I45" s="55">
        <f t="shared" si="7"/>
        <v>0</v>
      </c>
      <c r="J45" s="53">
        <v>100</v>
      </c>
      <c r="K45" s="53" t="s">
        <v>221</v>
      </c>
      <c r="L45" s="53">
        <v>0</v>
      </c>
      <c r="M45" s="53">
        <v>100</v>
      </c>
      <c r="N45" s="53" t="s">
        <v>295</v>
      </c>
      <c r="O45" s="53"/>
      <c r="P45" s="54" t="s">
        <v>410</v>
      </c>
      <c r="Q45" s="54"/>
      <c r="R45" s="54" t="s">
        <v>411</v>
      </c>
    </row>
    <row r="46" spans="1:18" ht="182" customHeight="1">
      <c r="A46" s="53">
        <v>5</v>
      </c>
      <c r="B46" s="53" t="s">
        <v>135</v>
      </c>
      <c r="C46" s="54" t="s">
        <v>136</v>
      </c>
      <c r="D46" s="53" t="s">
        <v>204</v>
      </c>
      <c r="E46" s="53" t="s">
        <v>260</v>
      </c>
      <c r="F46" s="53" t="s">
        <v>407</v>
      </c>
      <c r="G46" s="53">
        <v>1</v>
      </c>
      <c r="H46" s="53">
        <v>0</v>
      </c>
      <c r="I46" s="55">
        <f t="shared" si="7"/>
        <v>0</v>
      </c>
      <c r="J46" s="53">
        <v>100</v>
      </c>
      <c r="K46" s="53" t="s">
        <v>221</v>
      </c>
      <c r="L46" s="53">
        <v>0</v>
      </c>
      <c r="M46" s="53">
        <v>100</v>
      </c>
      <c r="N46" s="53" t="s">
        <v>295</v>
      </c>
      <c r="O46" s="53"/>
      <c r="P46" s="54" t="s">
        <v>412</v>
      </c>
      <c r="Q46" s="54"/>
      <c r="R46" s="54" t="s">
        <v>413</v>
      </c>
    </row>
    <row r="47" spans="1:18" ht="409.5" customHeight="1">
      <c r="A47" s="53">
        <v>5</v>
      </c>
      <c r="B47" s="53" t="s">
        <v>138</v>
      </c>
      <c r="C47" s="54" t="s">
        <v>139</v>
      </c>
      <c r="D47" s="53" t="s">
        <v>202</v>
      </c>
      <c r="E47" s="53" t="s">
        <v>414</v>
      </c>
      <c r="F47" s="53" t="s">
        <v>415</v>
      </c>
      <c r="G47" s="53">
        <v>4</v>
      </c>
      <c r="H47" s="53">
        <v>2</v>
      </c>
      <c r="I47" s="55">
        <f t="shared" si="7"/>
        <v>0.5</v>
      </c>
      <c r="J47" s="53">
        <v>90</v>
      </c>
      <c r="K47" s="53" t="s">
        <v>232</v>
      </c>
      <c r="L47" s="53">
        <v>75</v>
      </c>
      <c r="M47" s="53">
        <v>100</v>
      </c>
      <c r="N47" s="53" t="s">
        <v>295</v>
      </c>
      <c r="O47" s="53"/>
      <c r="P47" s="54" t="s">
        <v>416</v>
      </c>
      <c r="Q47" s="54" t="s">
        <v>417</v>
      </c>
      <c r="R47" s="54" t="s">
        <v>418</v>
      </c>
    </row>
    <row r="48" spans="1:18" ht="378" customHeight="1">
      <c r="A48" s="53">
        <v>5</v>
      </c>
      <c r="B48" s="53" t="s">
        <v>138</v>
      </c>
      <c r="C48" s="54" t="s">
        <v>139</v>
      </c>
      <c r="D48" s="53" t="s">
        <v>203</v>
      </c>
      <c r="E48" s="53" t="s">
        <v>419</v>
      </c>
      <c r="F48" s="53" t="s">
        <v>415</v>
      </c>
      <c r="G48" s="53">
        <v>4</v>
      </c>
      <c r="H48" s="53">
        <v>1</v>
      </c>
      <c r="I48" s="55">
        <f t="shared" si="7"/>
        <v>0.25</v>
      </c>
      <c r="J48" s="53">
        <v>90</v>
      </c>
      <c r="K48" s="53" t="s">
        <v>232</v>
      </c>
      <c r="L48" s="53">
        <v>45</v>
      </c>
      <c r="M48" s="53">
        <v>95</v>
      </c>
      <c r="N48" s="53" t="s">
        <v>295</v>
      </c>
      <c r="O48" s="53"/>
      <c r="P48" s="54" t="s">
        <v>420</v>
      </c>
      <c r="Q48" s="54" t="s">
        <v>421</v>
      </c>
      <c r="R48" s="54" t="s">
        <v>422</v>
      </c>
    </row>
    <row r="49" spans="1:18" ht="409.5" customHeight="1">
      <c r="A49" s="53">
        <v>5</v>
      </c>
      <c r="B49" s="53" t="s">
        <v>138</v>
      </c>
      <c r="C49" s="54" t="s">
        <v>139</v>
      </c>
      <c r="D49" s="53" t="s">
        <v>204</v>
      </c>
      <c r="E49" s="53" t="s">
        <v>423</v>
      </c>
      <c r="F49" s="53" t="s">
        <v>415</v>
      </c>
      <c r="G49" s="53">
        <v>4</v>
      </c>
      <c r="H49" s="53">
        <v>2</v>
      </c>
      <c r="I49" s="55">
        <f t="shared" si="7"/>
        <v>0.5</v>
      </c>
      <c r="J49" s="53">
        <v>80</v>
      </c>
      <c r="K49" s="53" t="s">
        <v>232</v>
      </c>
      <c r="L49" s="53">
        <v>75</v>
      </c>
      <c r="M49" s="53">
        <v>95</v>
      </c>
      <c r="N49" s="53" t="s">
        <v>295</v>
      </c>
      <c r="O49" s="53"/>
      <c r="P49" s="54" t="s">
        <v>424</v>
      </c>
      <c r="Q49" s="54" t="s">
        <v>425</v>
      </c>
      <c r="R49" s="54" t="s">
        <v>426</v>
      </c>
    </row>
    <row r="50" spans="1:18" ht="168" customHeight="1">
      <c r="A50" s="53">
        <v>5</v>
      </c>
      <c r="B50" s="53" t="s">
        <v>141</v>
      </c>
      <c r="C50" s="54" t="s">
        <v>142</v>
      </c>
      <c r="D50" s="53" t="s">
        <v>202</v>
      </c>
      <c r="E50" s="53" t="s">
        <v>230</v>
      </c>
      <c r="F50" s="53" t="s">
        <v>427</v>
      </c>
      <c r="G50" s="53">
        <v>4</v>
      </c>
      <c r="H50" s="53">
        <v>4</v>
      </c>
      <c r="I50" s="55">
        <f t="shared" si="7"/>
        <v>1</v>
      </c>
      <c r="J50" s="53">
        <v>100</v>
      </c>
      <c r="K50" s="53" t="s">
        <v>221</v>
      </c>
      <c r="L50" s="53">
        <v>85</v>
      </c>
      <c r="M50" s="53">
        <v>85</v>
      </c>
      <c r="N50" s="53" t="s">
        <v>295</v>
      </c>
      <c r="O50" s="53"/>
      <c r="P50" s="54" t="s">
        <v>428</v>
      </c>
      <c r="Q50" s="54"/>
      <c r="R50" s="54" t="s">
        <v>429</v>
      </c>
    </row>
    <row r="51" spans="1:18" ht="126" customHeight="1">
      <c r="A51" s="53">
        <v>5</v>
      </c>
      <c r="B51" s="53" t="s">
        <v>141</v>
      </c>
      <c r="C51" s="54" t="s">
        <v>142</v>
      </c>
      <c r="D51" s="53" t="s">
        <v>203</v>
      </c>
      <c r="E51" s="53" t="s">
        <v>430</v>
      </c>
      <c r="F51" s="53" t="s">
        <v>427</v>
      </c>
      <c r="G51" s="53">
        <v>4</v>
      </c>
      <c r="H51" s="53">
        <v>3</v>
      </c>
      <c r="I51" s="55">
        <f t="shared" si="7"/>
        <v>0.75</v>
      </c>
      <c r="J51" s="53">
        <v>95</v>
      </c>
      <c r="K51" s="53" t="s">
        <v>232</v>
      </c>
      <c r="L51" s="53">
        <v>85</v>
      </c>
      <c r="M51" s="53">
        <v>85</v>
      </c>
      <c r="N51" s="53" t="s">
        <v>295</v>
      </c>
      <c r="O51" s="53"/>
      <c r="P51" s="54" t="s">
        <v>431</v>
      </c>
      <c r="Q51" s="54" t="s">
        <v>432</v>
      </c>
      <c r="R51" s="54" t="s">
        <v>433</v>
      </c>
    </row>
    <row r="52" spans="1:18" ht="98" customHeight="1">
      <c r="A52" s="53">
        <v>5</v>
      </c>
      <c r="B52" s="53" t="s">
        <v>141</v>
      </c>
      <c r="C52" s="54" t="s">
        <v>142</v>
      </c>
      <c r="D52" s="53" t="s">
        <v>204</v>
      </c>
      <c r="E52" s="53" t="s">
        <v>434</v>
      </c>
      <c r="F52" s="53" t="s">
        <v>427</v>
      </c>
      <c r="G52" s="53">
        <v>4</v>
      </c>
      <c r="H52" s="53">
        <v>4</v>
      </c>
      <c r="I52" s="55">
        <f t="shared" si="7"/>
        <v>1</v>
      </c>
      <c r="J52" s="53">
        <v>80</v>
      </c>
      <c r="K52" s="53" t="s">
        <v>232</v>
      </c>
      <c r="L52" s="53">
        <v>85</v>
      </c>
      <c r="M52" s="53">
        <v>80</v>
      </c>
      <c r="N52" s="53" t="s">
        <v>295</v>
      </c>
      <c r="O52" s="53"/>
      <c r="P52" s="54" t="s">
        <v>435</v>
      </c>
      <c r="Q52" s="54" t="s">
        <v>436</v>
      </c>
      <c r="R52" s="54" t="s">
        <v>437</v>
      </c>
    </row>
    <row r="53" spans="1:18" ht="112" customHeight="1">
      <c r="A53" s="53">
        <v>5</v>
      </c>
      <c r="B53" s="53" t="s">
        <v>144</v>
      </c>
      <c r="C53" s="54" t="s">
        <v>145</v>
      </c>
      <c r="D53" s="53" t="s">
        <v>202</v>
      </c>
      <c r="E53" s="53" t="s">
        <v>231</v>
      </c>
      <c r="F53" s="53" t="s">
        <v>438</v>
      </c>
      <c r="G53" s="53">
        <v>1</v>
      </c>
      <c r="H53" s="53">
        <v>1</v>
      </c>
      <c r="I53" s="55">
        <f t="shared" si="7"/>
        <v>1</v>
      </c>
      <c r="J53" s="53">
        <v>85</v>
      </c>
      <c r="K53" s="53" t="s">
        <v>232</v>
      </c>
      <c r="L53" s="53">
        <v>90</v>
      </c>
      <c r="M53" s="53">
        <v>100</v>
      </c>
      <c r="N53" s="53" t="s">
        <v>295</v>
      </c>
      <c r="O53" s="53"/>
      <c r="P53" s="54" t="s">
        <v>439</v>
      </c>
      <c r="Q53" s="54" t="s">
        <v>440</v>
      </c>
      <c r="R53" s="54" t="s">
        <v>441</v>
      </c>
    </row>
    <row r="54" spans="1:18" ht="112" customHeight="1">
      <c r="A54" s="53">
        <v>5</v>
      </c>
      <c r="B54" s="53" t="s">
        <v>144</v>
      </c>
      <c r="C54" s="54" t="s">
        <v>145</v>
      </c>
      <c r="D54" s="53" t="s">
        <v>203</v>
      </c>
      <c r="E54" s="53" t="s">
        <v>442</v>
      </c>
      <c r="F54" s="53" t="s">
        <v>438</v>
      </c>
      <c r="G54" s="53">
        <v>1</v>
      </c>
      <c r="H54" s="53">
        <v>1</v>
      </c>
      <c r="I54" s="55">
        <f t="shared" si="7"/>
        <v>1</v>
      </c>
      <c r="J54" s="53">
        <v>90</v>
      </c>
      <c r="K54" s="53" t="s">
        <v>232</v>
      </c>
      <c r="L54" s="53">
        <v>90</v>
      </c>
      <c r="M54" s="53">
        <v>90</v>
      </c>
      <c r="N54" s="53" t="s">
        <v>295</v>
      </c>
      <c r="O54" s="53"/>
      <c r="P54" s="54" t="s">
        <v>443</v>
      </c>
      <c r="Q54" s="54" t="s">
        <v>444</v>
      </c>
      <c r="R54" s="54" t="s">
        <v>445</v>
      </c>
    </row>
    <row r="55" spans="1:18" ht="70" customHeight="1">
      <c r="A55" s="53">
        <v>5</v>
      </c>
      <c r="B55" s="53" t="s">
        <v>144</v>
      </c>
      <c r="C55" s="54" t="s">
        <v>145</v>
      </c>
      <c r="D55" s="53" t="s">
        <v>204</v>
      </c>
      <c r="E55" s="53" t="s">
        <v>446</v>
      </c>
      <c r="F55" s="53" t="s">
        <v>438</v>
      </c>
      <c r="G55" s="53">
        <v>1</v>
      </c>
      <c r="H55" s="53">
        <v>1</v>
      </c>
      <c r="I55" s="55">
        <f t="shared" si="7"/>
        <v>1</v>
      </c>
      <c r="J55" s="53">
        <v>100</v>
      </c>
      <c r="K55" s="53" t="s">
        <v>221</v>
      </c>
      <c r="L55" s="53">
        <v>90</v>
      </c>
      <c r="M55" s="53">
        <v>90</v>
      </c>
      <c r="N55" s="53" t="s">
        <v>295</v>
      </c>
      <c r="O55" s="53"/>
      <c r="P55" s="54" t="s">
        <v>447</v>
      </c>
      <c r="Q55" s="54"/>
      <c r="R55" s="54" t="s">
        <v>448</v>
      </c>
    </row>
    <row r="56" spans="1:18" ht="224" customHeight="1">
      <c r="A56" s="53">
        <v>5</v>
      </c>
      <c r="B56" s="53" t="s">
        <v>147</v>
      </c>
      <c r="C56" s="54" t="s">
        <v>148</v>
      </c>
      <c r="D56" s="53" t="s">
        <v>202</v>
      </c>
      <c r="E56" s="53" t="s">
        <v>233</v>
      </c>
      <c r="F56" s="53" t="s">
        <v>234</v>
      </c>
      <c r="G56" s="53">
        <v>0</v>
      </c>
      <c r="H56" s="53">
        <v>0</v>
      </c>
      <c r="I56" s="55" t="str">
        <f t="shared" si="7"/>
        <v>n/a</v>
      </c>
      <c r="J56" s="53">
        <v>85</v>
      </c>
      <c r="K56" s="53" t="s">
        <v>232</v>
      </c>
      <c r="L56" s="53" t="s">
        <v>295</v>
      </c>
      <c r="M56" s="53">
        <v>100</v>
      </c>
      <c r="N56" s="53" t="s">
        <v>221</v>
      </c>
      <c r="O56" s="53"/>
      <c r="P56" s="54" t="s">
        <v>449</v>
      </c>
      <c r="Q56" s="54" t="s">
        <v>450</v>
      </c>
      <c r="R56" s="54"/>
    </row>
    <row r="57" spans="1:18" ht="154" customHeight="1">
      <c r="A57" s="53">
        <v>5</v>
      </c>
      <c r="B57" s="53" t="s">
        <v>147</v>
      </c>
      <c r="C57" s="54" t="s">
        <v>148</v>
      </c>
      <c r="D57" s="53" t="s">
        <v>203</v>
      </c>
      <c r="E57" s="53" t="s">
        <v>248</v>
      </c>
      <c r="F57" s="53" t="s">
        <v>234</v>
      </c>
      <c r="G57" s="53">
        <v>0</v>
      </c>
      <c r="H57" s="53">
        <v>0</v>
      </c>
      <c r="I57" s="55" t="str">
        <f t="shared" si="7"/>
        <v>n/a</v>
      </c>
      <c r="J57" s="53">
        <v>100</v>
      </c>
      <c r="K57" s="53" t="s">
        <v>221</v>
      </c>
      <c r="L57" s="53" t="s">
        <v>295</v>
      </c>
      <c r="M57" s="53">
        <v>100</v>
      </c>
      <c r="N57" s="53" t="s">
        <v>221</v>
      </c>
      <c r="O57" s="53"/>
      <c r="P57" s="54" t="s">
        <v>451</v>
      </c>
      <c r="Q57" s="54"/>
      <c r="R57" s="54"/>
    </row>
    <row r="58" spans="1:18" ht="154" customHeight="1">
      <c r="A58" s="53">
        <v>5</v>
      </c>
      <c r="B58" s="53" t="s">
        <v>147</v>
      </c>
      <c r="C58" s="54" t="s">
        <v>148</v>
      </c>
      <c r="D58" s="53" t="s">
        <v>204</v>
      </c>
      <c r="E58" s="53" t="s">
        <v>264</v>
      </c>
      <c r="F58" s="53" t="s">
        <v>234</v>
      </c>
      <c r="G58" s="53">
        <v>0</v>
      </c>
      <c r="H58" s="53">
        <v>0</v>
      </c>
      <c r="I58" s="55" t="str">
        <f t="shared" ref="I58:I89" si="8">IF(G58=0,"n/a",H58/G58)</f>
        <v>n/a</v>
      </c>
      <c r="J58" s="53">
        <v>100</v>
      </c>
      <c r="K58" s="53" t="s">
        <v>221</v>
      </c>
      <c r="L58" s="53" t="s">
        <v>295</v>
      </c>
      <c r="M58" s="53">
        <v>100</v>
      </c>
      <c r="N58" s="53" t="s">
        <v>221</v>
      </c>
      <c r="O58" s="53"/>
      <c r="P58" s="54" t="s">
        <v>452</v>
      </c>
      <c r="Q58" s="54"/>
      <c r="R58" s="54"/>
    </row>
    <row r="59" spans="1:18" ht="42" customHeight="1">
      <c r="A59" s="53">
        <v>5</v>
      </c>
      <c r="B59" s="53" t="s">
        <v>150</v>
      </c>
      <c r="C59" s="54" t="s">
        <v>151</v>
      </c>
      <c r="D59" s="53" t="s">
        <v>202</v>
      </c>
      <c r="E59" s="53" t="s">
        <v>234</v>
      </c>
      <c r="F59" s="53" t="s">
        <v>234</v>
      </c>
      <c r="G59" s="53">
        <v>0</v>
      </c>
      <c r="H59" s="53">
        <v>0</v>
      </c>
      <c r="I59" s="55" t="str">
        <f t="shared" si="8"/>
        <v>n/a</v>
      </c>
      <c r="J59" s="53" t="s">
        <v>329</v>
      </c>
      <c r="K59" s="53" t="s">
        <v>295</v>
      </c>
      <c r="L59" s="53" t="s">
        <v>295</v>
      </c>
      <c r="M59" s="53" t="s">
        <v>295</v>
      </c>
      <c r="N59" s="53" t="s">
        <v>221</v>
      </c>
      <c r="O59" s="53"/>
      <c r="P59" s="54" t="s">
        <v>330</v>
      </c>
      <c r="Q59" s="54"/>
      <c r="R59" s="54"/>
    </row>
    <row r="60" spans="1:18" ht="154" customHeight="1">
      <c r="A60" s="53">
        <v>5</v>
      </c>
      <c r="B60" s="53" t="s">
        <v>150</v>
      </c>
      <c r="C60" s="54" t="s">
        <v>151</v>
      </c>
      <c r="D60" s="53" t="s">
        <v>203</v>
      </c>
      <c r="E60" s="53" t="s">
        <v>331</v>
      </c>
      <c r="F60" s="53" t="s">
        <v>234</v>
      </c>
      <c r="G60" s="53">
        <v>0</v>
      </c>
      <c r="H60" s="53">
        <v>0</v>
      </c>
      <c r="I60" s="55" t="str">
        <f t="shared" si="8"/>
        <v>n/a</v>
      </c>
      <c r="J60" s="53">
        <v>100</v>
      </c>
      <c r="K60" s="53" t="s">
        <v>221</v>
      </c>
      <c r="L60" s="53" t="s">
        <v>295</v>
      </c>
      <c r="M60" s="53">
        <v>100</v>
      </c>
      <c r="N60" s="53" t="s">
        <v>221</v>
      </c>
      <c r="O60" s="53"/>
      <c r="P60" s="54" t="s">
        <v>453</v>
      </c>
      <c r="Q60" s="54"/>
      <c r="R60" s="54"/>
    </row>
    <row r="61" spans="1:18" ht="126" customHeight="1">
      <c r="A61" s="53">
        <v>5</v>
      </c>
      <c r="B61" s="53" t="s">
        <v>150</v>
      </c>
      <c r="C61" s="54" t="s">
        <v>151</v>
      </c>
      <c r="D61" s="53" t="s">
        <v>204</v>
      </c>
      <c r="E61" s="53" t="s">
        <v>331</v>
      </c>
      <c r="F61" s="53" t="s">
        <v>234</v>
      </c>
      <c r="G61" s="53">
        <v>0</v>
      </c>
      <c r="H61" s="53">
        <v>0</v>
      </c>
      <c r="I61" s="55" t="str">
        <f t="shared" si="8"/>
        <v>n/a</v>
      </c>
      <c r="J61" s="53">
        <v>100</v>
      </c>
      <c r="K61" s="53" t="s">
        <v>221</v>
      </c>
      <c r="L61" s="53" t="s">
        <v>295</v>
      </c>
      <c r="M61" s="53">
        <v>100</v>
      </c>
      <c r="N61" s="53" t="s">
        <v>221</v>
      </c>
      <c r="O61" s="53"/>
      <c r="P61" s="54" t="s">
        <v>454</v>
      </c>
      <c r="Q61" s="54"/>
      <c r="R61" s="54"/>
    </row>
    <row r="62" spans="1:18" ht="154" customHeight="1">
      <c r="A62" s="53">
        <v>5</v>
      </c>
      <c r="B62" s="53" t="s">
        <v>8</v>
      </c>
      <c r="C62" s="54" t="s">
        <v>9</v>
      </c>
      <c r="D62" s="53" t="s">
        <v>202</v>
      </c>
      <c r="E62" s="53" t="s">
        <v>235</v>
      </c>
      <c r="F62" s="53" t="s">
        <v>235</v>
      </c>
      <c r="G62" s="53">
        <v>1</v>
      </c>
      <c r="H62" s="53">
        <v>1</v>
      </c>
      <c r="I62" s="55">
        <f t="shared" si="8"/>
        <v>1</v>
      </c>
      <c r="J62" s="53">
        <v>100</v>
      </c>
      <c r="K62" s="53" t="s">
        <v>221</v>
      </c>
      <c r="L62" s="53">
        <v>100</v>
      </c>
      <c r="M62" s="53">
        <v>100</v>
      </c>
      <c r="N62" s="53" t="s">
        <v>295</v>
      </c>
      <c r="O62" s="53"/>
      <c r="P62" s="54" t="s">
        <v>455</v>
      </c>
      <c r="Q62" s="54"/>
      <c r="R62" s="54"/>
    </row>
    <row r="63" spans="1:18" ht="140" customHeight="1">
      <c r="A63" s="53">
        <v>5</v>
      </c>
      <c r="B63" s="53" t="s">
        <v>8</v>
      </c>
      <c r="C63" s="54" t="s">
        <v>9</v>
      </c>
      <c r="D63" s="53" t="s">
        <v>203</v>
      </c>
      <c r="E63" s="53" t="s">
        <v>298</v>
      </c>
      <c r="F63" s="53" t="s">
        <v>235</v>
      </c>
      <c r="G63" s="53">
        <v>1</v>
      </c>
      <c r="H63" s="53">
        <v>1</v>
      </c>
      <c r="I63" s="55">
        <f t="shared" si="8"/>
        <v>1</v>
      </c>
      <c r="J63" s="53">
        <v>85</v>
      </c>
      <c r="K63" s="53" t="s">
        <v>232</v>
      </c>
      <c r="L63" s="53">
        <v>100</v>
      </c>
      <c r="M63" s="53">
        <v>100</v>
      </c>
      <c r="N63" s="53" t="s">
        <v>295</v>
      </c>
      <c r="O63" s="53"/>
      <c r="P63" s="54" t="s">
        <v>456</v>
      </c>
      <c r="Q63" s="54" t="s">
        <v>457</v>
      </c>
      <c r="R63" s="54"/>
    </row>
    <row r="64" spans="1:18" ht="56" customHeight="1">
      <c r="A64" s="53">
        <v>5</v>
      </c>
      <c r="B64" s="53" t="s">
        <v>8</v>
      </c>
      <c r="C64" s="54" t="s">
        <v>9</v>
      </c>
      <c r="D64" s="53" t="s">
        <v>204</v>
      </c>
      <c r="E64" s="53" t="s">
        <v>298</v>
      </c>
      <c r="F64" s="53" t="s">
        <v>235</v>
      </c>
      <c r="G64" s="53">
        <v>1</v>
      </c>
      <c r="H64" s="53">
        <v>1</v>
      </c>
      <c r="I64" s="55">
        <f t="shared" si="8"/>
        <v>1</v>
      </c>
      <c r="J64" s="53">
        <v>85</v>
      </c>
      <c r="K64" s="53" t="s">
        <v>232</v>
      </c>
      <c r="L64" s="53">
        <v>100</v>
      </c>
      <c r="M64" s="53">
        <v>100</v>
      </c>
      <c r="N64" s="53" t="s">
        <v>295</v>
      </c>
      <c r="O64" s="53"/>
      <c r="P64" s="54" t="s">
        <v>458</v>
      </c>
      <c r="Q64" s="54" t="s">
        <v>459</v>
      </c>
      <c r="R64" s="54"/>
    </row>
    <row r="65" spans="1:18" ht="210" customHeight="1">
      <c r="A65" s="53">
        <v>5</v>
      </c>
      <c r="B65" s="53" t="s">
        <v>30</v>
      </c>
      <c r="C65" s="54" t="s">
        <v>31</v>
      </c>
      <c r="D65" s="53" t="s">
        <v>202</v>
      </c>
      <c r="E65" s="53" t="s">
        <v>233</v>
      </c>
      <c r="F65" s="53" t="s">
        <v>460</v>
      </c>
      <c r="G65" s="53">
        <v>1</v>
      </c>
      <c r="H65" s="53">
        <v>1</v>
      </c>
      <c r="I65" s="55">
        <f t="shared" si="8"/>
        <v>1</v>
      </c>
      <c r="J65" s="53">
        <v>95</v>
      </c>
      <c r="K65" s="53" t="s">
        <v>232</v>
      </c>
      <c r="L65" s="53">
        <v>95</v>
      </c>
      <c r="M65" s="53">
        <v>95</v>
      </c>
      <c r="N65" s="53" t="s">
        <v>295</v>
      </c>
      <c r="O65" s="53"/>
      <c r="P65" s="54" t="s">
        <v>461</v>
      </c>
      <c r="Q65" s="54" t="s">
        <v>462</v>
      </c>
      <c r="R65" s="54" t="s">
        <v>463</v>
      </c>
    </row>
    <row r="66" spans="1:18" ht="364" customHeight="1">
      <c r="A66" s="53">
        <v>5</v>
      </c>
      <c r="B66" s="53" t="s">
        <v>30</v>
      </c>
      <c r="C66" s="54" t="s">
        <v>31</v>
      </c>
      <c r="D66" s="53" t="s">
        <v>203</v>
      </c>
      <c r="E66" s="53" t="s">
        <v>251</v>
      </c>
      <c r="F66" s="53" t="s">
        <v>460</v>
      </c>
      <c r="G66" s="53">
        <v>1</v>
      </c>
      <c r="H66" s="53">
        <v>1</v>
      </c>
      <c r="I66" s="55">
        <f t="shared" si="8"/>
        <v>1</v>
      </c>
      <c r="J66" s="53">
        <v>90</v>
      </c>
      <c r="K66" s="53" t="s">
        <v>232</v>
      </c>
      <c r="L66" s="53">
        <v>95</v>
      </c>
      <c r="M66" s="53">
        <v>95</v>
      </c>
      <c r="N66" s="53" t="s">
        <v>295</v>
      </c>
      <c r="O66" s="53"/>
      <c r="P66" s="54" t="s">
        <v>464</v>
      </c>
      <c r="Q66" s="54" t="s">
        <v>465</v>
      </c>
      <c r="R66" s="54" t="s">
        <v>466</v>
      </c>
    </row>
    <row r="67" spans="1:18" ht="252" customHeight="1">
      <c r="A67" s="53">
        <v>5</v>
      </c>
      <c r="B67" s="53" t="s">
        <v>30</v>
      </c>
      <c r="C67" s="54" t="s">
        <v>31</v>
      </c>
      <c r="D67" s="53" t="s">
        <v>204</v>
      </c>
      <c r="E67" s="53" t="s">
        <v>265</v>
      </c>
      <c r="F67" s="53" t="s">
        <v>460</v>
      </c>
      <c r="G67" s="53">
        <v>1</v>
      </c>
      <c r="H67" s="53">
        <v>1</v>
      </c>
      <c r="I67" s="55">
        <f t="shared" si="8"/>
        <v>1</v>
      </c>
      <c r="J67" s="53">
        <v>95</v>
      </c>
      <c r="K67" s="53" t="s">
        <v>232</v>
      </c>
      <c r="L67" s="53">
        <v>100</v>
      </c>
      <c r="M67" s="53">
        <v>95</v>
      </c>
      <c r="N67" s="53" t="s">
        <v>295</v>
      </c>
      <c r="O67" s="53"/>
      <c r="P67" s="54" t="s">
        <v>467</v>
      </c>
      <c r="Q67" s="54" t="s">
        <v>468</v>
      </c>
      <c r="R67" s="54"/>
    </row>
    <row r="68" spans="1:18" ht="322" customHeight="1">
      <c r="A68" s="53">
        <v>5</v>
      </c>
      <c r="B68" s="53" t="s">
        <v>38</v>
      </c>
      <c r="C68" s="54" t="s">
        <v>39</v>
      </c>
      <c r="D68" s="53" t="s">
        <v>202</v>
      </c>
      <c r="E68" s="53" t="s">
        <v>236</v>
      </c>
      <c r="F68" s="53" t="s">
        <v>359</v>
      </c>
      <c r="G68" s="53">
        <v>2</v>
      </c>
      <c r="H68" s="53">
        <v>1</v>
      </c>
      <c r="I68" s="55">
        <f t="shared" si="8"/>
        <v>0.5</v>
      </c>
      <c r="J68" s="53">
        <v>100</v>
      </c>
      <c r="K68" s="53" t="s">
        <v>221</v>
      </c>
      <c r="L68" s="53">
        <v>90</v>
      </c>
      <c r="M68" s="53">
        <v>100</v>
      </c>
      <c r="N68" s="53" t="s">
        <v>295</v>
      </c>
      <c r="O68" s="53"/>
      <c r="P68" s="54" t="s">
        <v>469</v>
      </c>
      <c r="Q68" s="54"/>
      <c r="R68" s="54" t="s">
        <v>470</v>
      </c>
    </row>
    <row r="69" spans="1:18" ht="322" customHeight="1">
      <c r="A69" s="53">
        <v>5</v>
      </c>
      <c r="B69" s="53" t="s">
        <v>38</v>
      </c>
      <c r="C69" s="54" t="s">
        <v>39</v>
      </c>
      <c r="D69" s="53" t="s">
        <v>203</v>
      </c>
      <c r="E69" s="53" t="s">
        <v>252</v>
      </c>
      <c r="F69" s="53" t="s">
        <v>359</v>
      </c>
      <c r="G69" s="53">
        <v>2</v>
      </c>
      <c r="H69" s="53">
        <v>2</v>
      </c>
      <c r="I69" s="55">
        <f t="shared" si="8"/>
        <v>1</v>
      </c>
      <c r="J69" s="53">
        <v>95</v>
      </c>
      <c r="K69" s="53" t="s">
        <v>232</v>
      </c>
      <c r="L69" s="53">
        <v>95</v>
      </c>
      <c r="M69" s="53">
        <v>95</v>
      </c>
      <c r="N69" s="53" t="s">
        <v>295</v>
      </c>
      <c r="O69" s="53"/>
      <c r="P69" s="54" t="s">
        <v>471</v>
      </c>
      <c r="Q69" s="54" t="s">
        <v>472</v>
      </c>
      <c r="R69" s="54" t="s">
        <v>473</v>
      </c>
    </row>
    <row r="70" spans="1:18" ht="280" customHeight="1">
      <c r="A70" s="53">
        <v>5</v>
      </c>
      <c r="B70" s="53" t="s">
        <v>38</v>
      </c>
      <c r="C70" s="54" t="s">
        <v>39</v>
      </c>
      <c r="D70" s="53" t="s">
        <v>204</v>
      </c>
      <c r="E70" s="53" t="s">
        <v>266</v>
      </c>
      <c r="F70" s="53" t="s">
        <v>359</v>
      </c>
      <c r="G70" s="53">
        <v>2</v>
      </c>
      <c r="H70" s="53">
        <v>2</v>
      </c>
      <c r="I70" s="55">
        <f t="shared" si="8"/>
        <v>1</v>
      </c>
      <c r="J70" s="53">
        <v>90</v>
      </c>
      <c r="K70" s="53" t="s">
        <v>232</v>
      </c>
      <c r="L70" s="53">
        <v>95</v>
      </c>
      <c r="M70" s="53">
        <v>95</v>
      </c>
      <c r="N70" s="53" t="s">
        <v>295</v>
      </c>
      <c r="O70" s="53"/>
      <c r="P70" s="54" t="s">
        <v>474</v>
      </c>
      <c r="Q70" s="54" t="s">
        <v>475</v>
      </c>
      <c r="R70" s="54" t="s">
        <v>476</v>
      </c>
    </row>
    <row r="71" spans="1:18" ht="378" customHeight="1">
      <c r="A71" s="53">
        <v>5</v>
      </c>
      <c r="B71" s="53" t="s">
        <v>44</v>
      </c>
      <c r="C71" s="54" t="s">
        <v>45</v>
      </c>
      <c r="D71" s="53" t="s">
        <v>202</v>
      </c>
      <c r="E71" s="53" t="s">
        <v>237</v>
      </c>
      <c r="F71" s="53" t="s">
        <v>348</v>
      </c>
      <c r="G71" s="53">
        <v>3</v>
      </c>
      <c r="H71" s="53">
        <v>2</v>
      </c>
      <c r="I71" s="55">
        <f t="shared" si="8"/>
        <v>0.66666666666666663</v>
      </c>
      <c r="J71" s="53">
        <v>85</v>
      </c>
      <c r="K71" s="53" t="s">
        <v>232</v>
      </c>
      <c r="L71" s="53">
        <v>90</v>
      </c>
      <c r="M71" s="53">
        <v>95</v>
      </c>
      <c r="N71" s="53" t="s">
        <v>295</v>
      </c>
      <c r="O71" s="53"/>
      <c r="P71" s="54" t="s">
        <v>477</v>
      </c>
      <c r="Q71" s="54" t="s">
        <v>478</v>
      </c>
      <c r="R71" s="54" t="s">
        <v>479</v>
      </c>
    </row>
    <row r="72" spans="1:18" ht="409.5" customHeight="1">
      <c r="A72" s="53">
        <v>5</v>
      </c>
      <c r="B72" s="53" t="s">
        <v>44</v>
      </c>
      <c r="C72" s="54" t="s">
        <v>45</v>
      </c>
      <c r="D72" s="53" t="s">
        <v>203</v>
      </c>
      <c r="E72" s="53" t="s">
        <v>351</v>
      </c>
      <c r="F72" s="53" t="s">
        <v>348</v>
      </c>
      <c r="G72" s="53">
        <v>3</v>
      </c>
      <c r="H72" s="53">
        <v>2</v>
      </c>
      <c r="I72" s="55">
        <f t="shared" si="8"/>
        <v>0.66666666666666663</v>
      </c>
      <c r="J72" s="53">
        <v>85</v>
      </c>
      <c r="K72" s="53" t="s">
        <v>232</v>
      </c>
      <c r="L72" s="53">
        <v>90</v>
      </c>
      <c r="M72" s="53">
        <v>95</v>
      </c>
      <c r="N72" s="53" t="s">
        <v>295</v>
      </c>
      <c r="O72" s="53"/>
      <c r="P72" s="54" t="s">
        <v>480</v>
      </c>
      <c r="Q72" s="54" t="s">
        <v>481</v>
      </c>
      <c r="R72" s="54" t="s">
        <v>482</v>
      </c>
    </row>
    <row r="73" spans="1:18" ht="336" customHeight="1">
      <c r="A73" s="53">
        <v>5</v>
      </c>
      <c r="B73" s="53" t="s">
        <v>44</v>
      </c>
      <c r="C73" s="54" t="s">
        <v>45</v>
      </c>
      <c r="D73" s="53" t="s">
        <v>204</v>
      </c>
      <c r="E73" s="53" t="s">
        <v>483</v>
      </c>
      <c r="F73" s="53" t="s">
        <v>348</v>
      </c>
      <c r="G73" s="53">
        <v>3</v>
      </c>
      <c r="H73" s="53">
        <v>2</v>
      </c>
      <c r="I73" s="55">
        <f t="shared" si="8"/>
        <v>0.66666666666666663</v>
      </c>
      <c r="J73" s="53">
        <v>85</v>
      </c>
      <c r="K73" s="53" t="s">
        <v>232</v>
      </c>
      <c r="L73" s="53">
        <v>95</v>
      </c>
      <c r="M73" s="53">
        <v>95</v>
      </c>
      <c r="N73" s="53" t="s">
        <v>295</v>
      </c>
      <c r="O73" s="53"/>
      <c r="P73" s="54" t="s">
        <v>484</v>
      </c>
      <c r="Q73" s="54" t="s">
        <v>485</v>
      </c>
      <c r="R73" s="54" t="s">
        <v>486</v>
      </c>
    </row>
    <row r="74" spans="1:18" ht="350" customHeight="1">
      <c r="A74" s="53">
        <v>10</v>
      </c>
      <c r="B74" s="53" t="s">
        <v>117</v>
      </c>
      <c r="C74" s="54" t="s">
        <v>118</v>
      </c>
      <c r="D74" s="53" t="s">
        <v>202</v>
      </c>
      <c r="E74" s="53" t="s">
        <v>222</v>
      </c>
      <c r="F74" s="53" t="s">
        <v>348</v>
      </c>
      <c r="G74" s="53">
        <v>3</v>
      </c>
      <c r="H74" s="53">
        <v>2</v>
      </c>
      <c r="I74" s="55">
        <f t="shared" si="8"/>
        <v>0.66666666666666663</v>
      </c>
      <c r="J74" s="53">
        <v>80</v>
      </c>
      <c r="K74" s="53" t="s">
        <v>232</v>
      </c>
      <c r="L74" s="53">
        <v>100</v>
      </c>
      <c r="M74" s="53">
        <v>100</v>
      </c>
      <c r="N74" s="53" t="s">
        <v>295</v>
      </c>
      <c r="O74" s="53">
        <v>5</v>
      </c>
      <c r="P74" s="54" t="s">
        <v>349</v>
      </c>
      <c r="Q74" s="54" t="s">
        <v>350</v>
      </c>
      <c r="R74" s="54"/>
    </row>
    <row r="75" spans="1:18" ht="350" customHeight="1">
      <c r="A75" s="53">
        <v>10</v>
      </c>
      <c r="B75" s="53" t="s">
        <v>117</v>
      </c>
      <c r="C75" s="54" t="s">
        <v>118</v>
      </c>
      <c r="D75" s="53" t="s">
        <v>203</v>
      </c>
      <c r="E75" s="53" t="s">
        <v>238</v>
      </c>
      <c r="F75" s="53" t="s">
        <v>348</v>
      </c>
      <c r="G75" s="53">
        <v>3</v>
      </c>
      <c r="H75" s="53">
        <v>3</v>
      </c>
      <c r="I75" s="55">
        <f t="shared" si="8"/>
        <v>1</v>
      </c>
      <c r="J75" s="53">
        <v>85</v>
      </c>
      <c r="K75" s="53" t="s">
        <v>232</v>
      </c>
      <c r="L75" s="53">
        <v>100</v>
      </c>
      <c r="M75" s="53">
        <v>95</v>
      </c>
      <c r="N75" s="53" t="s">
        <v>295</v>
      </c>
      <c r="O75" s="53"/>
      <c r="P75" s="54" t="s">
        <v>487</v>
      </c>
      <c r="Q75" s="54" t="s">
        <v>488</v>
      </c>
      <c r="R75" s="54"/>
    </row>
    <row r="76" spans="1:18" ht="322" customHeight="1">
      <c r="A76" s="53">
        <v>10</v>
      </c>
      <c r="B76" s="53" t="s">
        <v>117</v>
      </c>
      <c r="C76" s="54" t="s">
        <v>118</v>
      </c>
      <c r="D76" s="53" t="s">
        <v>204</v>
      </c>
      <c r="E76" s="53" t="s">
        <v>254</v>
      </c>
      <c r="F76" s="53" t="s">
        <v>348</v>
      </c>
      <c r="G76" s="53">
        <v>3</v>
      </c>
      <c r="H76" s="53">
        <v>3</v>
      </c>
      <c r="I76" s="55">
        <f t="shared" si="8"/>
        <v>1</v>
      </c>
      <c r="J76" s="53">
        <v>90</v>
      </c>
      <c r="K76" s="53" t="s">
        <v>232</v>
      </c>
      <c r="L76" s="53">
        <v>100</v>
      </c>
      <c r="M76" s="53">
        <v>100</v>
      </c>
      <c r="N76" s="53" t="s">
        <v>295</v>
      </c>
      <c r="O76" s="53"/>
      <c r="P76" s="54" t="s">
        <v>489</v>
      </c>
      <c r="Q76" s="54" t="s">
        <v>490</v>
      </c>
      <c r="R76" s="54"/>
    </row>
    <row r="77" spans="1:18" ht="280" customHeight="1">
      <c r="A77" s="53">
        <v>10</v>
      </c>
      <c r="B77" s="53" t="s">
        <v>120</v>
      </c>
      <c r="C77" s="54" t="s">
        <v>121</v>
      </c>
      <c r="D77" s="53" t="s">
        <v>202</v>
      </c>
      <c r="E77" s="53" t="s">
        <v>223</v>
      </c>
      <c r="F77" s="53" t="s">
        <v>359</v>
      </c>
      <c r="G77" s="53">
        <v>2</v>
      </c>
      <c r="H77" s="53">
        <v>2</v>
      </c>
      <c r="I77" s="55">
        <f t="shared" si="8"/>
        <v>1</v>
      </c>
      <c r="J77" s="53">
        <v>90</v>
      </c>
      <c r="K77" s="53" t="s">
        <v>232</v>
      </c>
      <c r="L77" s="53">
        <v>100</v>
      </c>
      <c r="M77" s="53">
        <v>95</v>
      </c>
      <c r="N77" s="53" t="s">
        <v>295</v>
      </c>
      <c r="O77" s="53">
        <v>5</v>
      </c>
      <c r="P77" s="54" t="s">
        <v>360</v>
      </c>
      <c r="Q77" s="54" t="s">
        <v>361</v>
      </c>
      <c r="R77" s="54"/>
    </row>
    <row r="78" spans="1:18" ht="266" customHeight="1">
      <c r="A78" s="53">
        <v>10</v>
      </c>
      <c r="B78" s="53" t="s">
        <v>120</v>
      </c>
      <c r="C78" s="54" t="s">
        <v>121</v>
      </c>
      <c r="D78" s="53" t="s">
        <v>203</v>
      </c>
      <c r="E78" s="53" t="s">
        <v>239</v>
      </c>
      <c r="F78" s="53" t="s">
        <v>359</v>
      </c>
      <c r="G78" s="53">
        <v>2</v>
      </c>
      <c r="H78" s="53">
        <v>2</v>
      </c>
      <c r="I78" s="55">
        <f t="shared" si="8"/>
        <v>1</v>
      </c>
      <c r="J78" s="53">
        <v>95</v>
      </c>
      <c r="K78" s="53" t="s">
        <v>232</v>
      </c>
      <c r="L78" s="53">
        <v>100</v>
      </c>
      <c r="M78" s="53">
        <v>95</v>
      </c>
      <c r="N78" s="53" t="s">
        <v>295</v>
      </c>
      <c r="O78" s="53"/>
      <c r="P78" s="54" t="s">
        <v>491</v>
      </c>
      <c r="Q78" s="54" t="s">
        <v>492</v>
      </c>
      <c r="R78" s="54"/>
    </row>
    <row r="79" spans="1:18" ht="224" customHeight="1">
      <c r="A79" s="53">
        <v>10</v>
      </c>
      <c r="B79" s="53" t="s">
        <v>120</v>
      </c>
      <c r="C79" s="54" t="s">
        <v>121</v>
      </c>
      <c r="D79" s="53" t="s">
        <v>204</v>
      </c>
      <c r="E79" s="53" t="s">
        <v>255</v>
      </c>
      <c r="F79" s="53" t="s">
        <v>359</v>
      </c>
      <c r="G79" s="53">
        <v>2</v>
      </c>
      <c r="H79" s="53">
        <v>2</v>
      </c>
      <c r="I79" s="55">
        <f t="shared" si="8"/>
        <v>1</v>
      </c>
      <c r="J79" s="53">
        <v>95</v>
      </c>
      <c r="K79" s="53" t="s">
        <v>232</v>
      </c>
      <c r="L79" s="53">
        <v>100</v>
      </c>
      <c r="M79" s="53">
        <v>95</v>
      </c>
      <c r="N79" s="53" t="s">
        <v>295</v>
      </c>
      <c r="O79" s="53"/>
      <c r="P79" s="54" t="s">
        <v>493</v>
      </c>
      <c r="Q79" s="54" t="s">
        <v>494</v>
      </c>
      <c r="R79" s="54"/>
    </row>
    <row r="80" spans="1:18" ht="168" customHeight="1">
      <c r="A80" s="53">
        <v>10</v>
      </c>
      <c r="B80" s="53" t="s">
        <v>123</v>
      </c>
      <c r="C80" s="54" t="s">
        <v>124</v>
      </c>
      <c r="D80" s="53" t="s">
        <v>202</v>
      </c>
      <c r="E80" s="53" t="s">
        <v>224</v>
      </c>
      <c r="F80" s="53" t="s">
        <v>317</v>
      </c>
      <c r="G80" s="53">
        <v>3</v>
      </c>
      <c r="H80" s="53">
        <v>0</v>
      </c>
      <c r="I80" s="55">
        <f t="shared" si="8"/>
        <v>0</v>
      </c>
      <c r="J80" s="53">
        <v>90</v>
      </c>
      <c r="K80" s="53" t="s">
        <v>232</v>
      </c>
      <c r="L80" s="53">
        <v>0</v>
      </c>
      <c r="M80" s="53">
        <v>90</v>
      </c>
      <c r="N80" s="53" t="s">
        <v>295</v>
      </c>
      <c r="O80" s="53">
        <v>5</v>
      </c>
      <c r="P80" s="54" t="s">
        <v>367</v>
      </c>
      <c r="Q80" s="54" t="s">
        <v>368</v>
      </c>
      <c r="R80" s="54" t="s">
        <v>369</v>
      </c>
    </row>
    <row r="81" spans="1:18" ht="308" customHeight="1">
      <c r="A81" s="53">
        <v>10</v>
      </c>
      <c r="B81" s="53" t="s">
        <v>123</v>
      </c>
      <c r="C81" s="54" t="s">
        <v>124</v>
      </c>
      <c r="D81" s="53" t="s">
        <v>203</v>
      </c>
      <c r="E81" s="53" t="s">
        <v>240</v>
      </c>
      <c r="F81" s="53" t="s">
        <v>317</v>
      </c>
      <c r="G81" s="53">
        <v>3</v>
      </c>
      <c r="H81" s="53">
        <v>2</v>
      </c>
      <c r="I81" s="55">
        <f t="shared" si="8"/>
        <v>0.66666666666666663</v>
      </c>
      <c r="J81" s="53">
        <v>65</v>
      </c>
      <c r="K81" s="53" t="s">
        <v>232</v>
      </c>
      <c r="L81" s="53">
        <v>95</v>
      </c>
      <c r="M81" s="53">
        <v>90</v>
      </c>
      <c r="N81" s="53" t="s">
        <v>295</v>
      </c>
      <c r="O81" s="53"/>
      <c r="P81" s="54" t="s">
        <v>495</v>
      </c>
      <c r="Q81" s="54" t="s">
        <v>496</v>
      </c>
      <c r="R81" s="54" t="s">
        <v>497</v>
      </c>
    </row>
    <row r="82" spans="1:18" ht="280" customHeight="1">
      <c r="A82" s="53">
        <v>10</v>
      </c>
      <c r="B82" s="53" t="s">
        <v>123</v>
      </c>
      <c r="C82" s="54" t="s">
        <v>124</v>
      </c>
      <c r="D82" s="53" t="s">
        <v>204</v>
      </c>
      <c r="E82" s="53" t="s">
        <v>256</v>
      </c>
      <c r="F82" s="53" t="s">
        <v>317</v>
      </c>
      <c r="G82" s="53">
        <v>3</v>
      </c>
      <c r="H82" s="53">
        <v>2</v>
      </c>
      <c r="I82" s="55">
        <f t="shared" si="8"/>
        <v>0.66666666666666663</v>
      </c>
      <c r="J82" s="53">
        <v>85</v>
      </c>
      <c r="K82" s="53" t="s">
        <v>232</v>
      </c>
      <c r="L82" s="53">
        <v>85</v>
      </c>
      <c r="M82" s="53">
        <v>85</v>
      </c>
      <c r="N82" s="53" t="s">
        <v>295</v>
      </c>
      <c r="O82" s="53"/>
      <c r="P82" s="54" t="s">
        <v>498</v>
      </c>
      <c r="Q82" s="54" t="s">
        <v>499</v>
      </c>
      <c r="R82" s="54" t="s">
        <v>500</v>
      </c>
    </row>
    <row r="83" spans="1:18" ht="364" customHeight="1">
      <c r="A83" s="53">
        <v>10</v>
      </c>
      <c r="B83" s="53" t="s">
        <v>126</v>
      </c>
      <c r="C83" s="54" t="s">
        <v>127</v>
      </c>
      <c r="D83" s="53" t="s">
        <v>202</v>
      </c>
      <c r="E83" s="53" t="s">
        <v>225</v>
      </c>
      <c r="F83" s="53" t="s">
        <v>376</v>
      </c>
      <c r="G83" s="53">
        <v>2</v>
      </c>
      <c r="H83" s="53">
        <v>2</v>
      </c>
      <c r="I83" s="55">
        <f t="shared" si="8"/>
        <v>1</v>
      </c>
      <c r="J83" s="53">
        <v>72</v>
      </c>
      <c r="K83" s="53" t="s">
        <v>232</v>
      </c>
      <c r="L83" s="53">
        <v>95</v>
      </c>
      <c r="M83" s="53">
        <v>95</v>
      </c>
      <c r="N83" s="53" t="s">
        <v>295</v>
      </c>
      <c r="O83" s="53">
        <v>5</v>
      </c>
      <c r="P83" s="54" t="s">
        <v>377</v>
      </c>
      <c r="Q83" s="54" t="s">
        <v>378</v>
      </c>
      <c r="R83" s="54" t="s">
        <v>379</v>
      </c>
    </row>
    <row r="84" spans="1:18" ht="308" customHeight="1">
      <c r="A84" s="53">
        <v>10</v>
      </c>
      <c r="B84" s="53" t="s">
        <v>126</v>
      </c>
      <c r="C84" s="54" t="s">
        <v>127</v>
      </c>
      <c r="D84" s="53" t="s">
        <v>203</v>
      </c>
      <c r="E84" s="53" t="s">
        <v>241</v>
      </c>
      <c r="F84" s="53" t="s">
        <v>376</v>
      </c>
      <c r="G84" s="53">
        <v>2</v>
      </c>
      <c r="H84" s="53">
        <v>2</v>
      </c>
      <c r="I84" s="55">
        <f t="shared" si="8"/>
        <v>1</v>
      </c>
      <c r="J84" s="53">
        <v>85</v>
      </c>
      <c r="K84" s="53" t="s">
        <v>232</v>
      </c>
      <c r="L84" s="53">
        <v>95</v>
      </c>
      <c r="M84" s="53">
        <v>95</v>
      </c>
      <c r="N84" s="53" t="s">
        <v>295</v>
      </c>
      <c r="O84" s="53"/>
      <c r="P84" s="54" t="s">
        <v>501</v>
      </c>
      <c r="Q84" s="54" t="s">
        <v>502</v>
      </c>
      <c r="R84" s="54" t="s">
        <v>503</v>
      </c>
    </row>
    <row r="85" spans="1:18" ht="409.5" customHeight="1">
      <c r="A85" s="53">
        <v>10</v>
      </c>
      <c r="B85" s="53" t="s">
        <v>126</v>
      </c>
      <c r="C85" s="54" t="s">
        <v>127</v>
      </c>
      <c r="D85" s="53" t="s">
        <v>204</v>
      </c>
      <c r="E85" s="53" t="s">
        <v>257</v>
      </c>
      <c r="F85" s="53" t="s">
        <v>376</v>
      </c>
      <c r="G85" s="53">
        <v>2</v>
      </c>
      <c r="H85" s="53">
        <v>2</v>
      </c>
      <c r="I85" s="55">
        <f t="shared" si="8"/>
        <v>1</v>
      </c>
      <c r="J85" s="53">
        <v>80</v>
      </c>
      <c r="K85" s="53" t="s">
        <v>232</v>
      </c>
      <c r="L85" s="53">
        <v>100</v>
      </c>
      <c r="M85" s="53">
        <v>95</v>
      </c>
      <c r="N85" s="53" t="s">
        <v>295</v>
      </c>
      <c r="O85" s="53"/>
      <c r="P85" s="54" t="s">
        <v>504</v>
      </c>
      <c r="Q85" s="54" t="s">
        <v>505</v>
      </c>
      <c r="R85" s="54"/>
    </row>
    <row r="86" spans="1:18" ht="392" customHeight="1">
      <c r="A86" s="53">
        <v>10</v>
      </c>
      <c r="B86" s="53" t="s">
        <v>129</v>
      </c>
      <c r="C86" s="54" t="s">
        <v>130</v>
      </c>
      <c r="D86" s="53" t="s">
        <v>202</v>
      </c>
      <c r="E86" s="53" t="s">
        <v>226</v>
      </c>
      <c r="F86" s="53" t="s">
        <v>386</v>
      </c>
      <c r="G86" s="53">
        <v>4</v>
      </c>
      <c r="H86" s="53">
        <v>3</v>
      </c>
      <c r="I86" s="55">
        <f t="shared" si="8"/>
        <v>0.75</v>
      </c>
      <c r="J86" s="53">
        <v>75</v>
      </c>
      <c r="K86" s="53" t="s">
        <v>232</v>
      </c>
      <c r="L86" s="53">
        <v>92</v>
      </c>
      <c r="M86" s="53">
        <v>95</v>
      </c>
      <c r="N86" s="53" t="s">
        <v>295</v>
      </c>
      <c r="O86" s="53">
        <v>5</v>
      </c>
      <c r="P86" s="54" t="s">
        <v>387</v>
      </c>
      <c r="Q86" s="54" t="s">
        <v>388</v>
      </c>
      <c r="R86" s="54" t="s">
        <v>389</v>
      </c>
    </row>
    <row r="87" spans="1:18" ht="224" customHeight="1">
      <c r="A87" s="53">
        <v>10</v>
      </c>
      <c r="B87" s="53" t="s">
        <v>129</v>
      </c>
      <c r="C87" s="54" t="s">
        <v>130</v>
      </c>
      <c r="D87" s="53" t="s">
        <v>203</v>
      </c>
      <c r="E87" s="53" t="s">
        <v>506</v>
      </c>
      <c r="F87" s="53" t="s">
        <v>386</v>
      </c>
      <c r="G87" s="53">
        <v>4</v>
      </c>
      <c r="H87" s="53">
        <v>3</v>
      </c>
      <c r="I87" s="55">
        <f t="shared" si="8"/>
        <v>0.75</v>
      </c>
      <c r="J87" s="53">
        <v>85</v>
      </c>
      <c r="K87" s="53" t="s">
        <v>232</v>
      </c>
      <c r="L87" s="53">
        <v>90</v>
      </c>
      <c r="M87" s="53">
        <v>90</v>
      </c>
      <c r="N87" s="53" t="s">
        <v>295</v>
      </c>
      <c r="O87" s="53"/>
      <c r="P87" s="54" t="s">
        <v>507</v>
      </c>
      <c r="Q87" s="54" t="s">
        <v>508</v>
      </c>
      <c r="R87" s="54" t="s">
        <v>509</v>
      </c>
    </row>
    <row r="88" spans="1:18" ht="294" customHeight="1">
      <c r="A88" s="53">
        <v>10</v>
      </c>
      <c r="B88" s="53" t="s">
        <v>129</v>
      </c>
      <c r="C88" s="54" t="s">
        <v>130</v>
      </c>
      <c r="D88" s="53" t="s">
        <v>204</v>
      </c>
      <c r="E88" s="53" t="s">
        <v>510</v>
      </c>
      <c r="F88" s="53" t="s">
        <v>386</v>
      </c>
      <c r="G88" s="53">
        <v>4</v>
      </c>
      <c r="H88" s="53">
        <v>3</v>
      </c>
      <c r="I88" s="55">
        <f t="shared" si="8"/>
        <v>0.75</v>
      </c>
      <c r="J88" s="53">
        <v>75</v>
      </c>
      <c r="K88" s="53" t="s">
        <v>232</v>
      </c>
      <c r="L88" s="53">
        <v>90</v>
      </c>
      <c r="M88" s="53">
        <v>95</v>
      </c>
      <c r="N88" s="53" t="s">
        <v>295</v>
      </c>
      <c r="O88" s="53"/>
      <c r="P88" s="54" t="s">
        <v>511</v>
      </c>
      <c r="Q88" s="54" t="s">
        <v>512</v>
      </c>
      <c r="R88" s="54" t="s">
        <v>513</v>
      </c>
    </row>
    <row r="89" spans="1:18" ht="238" customHeight="1">
      <c r="A89" s="53">
        <v>10</v>
      </c>
      <c r="B89" s="53" t="s">
        <v>132</v>
      </c>
      <c r="C89" s="54" t="s">
        <v>133</v>
      </c>
      <c r="D89" s="53" t="s">
        <v>202</v>
      </c>
      <c r="E89" s="53" t="s">
        <v>227</v>
      </c>
      <c r="F89" s="53" t="s">
        <v>304</v>
      </c>
      <c r="G89" s="53">
        <v>7</v>
      </c>
      <c r="H89" s="53">
        <v>7</v>
      </c>
      <c r="I89" s="55">
        <f t="shared" si="8"/>
        <v>1</v>
      </c>
      <c r="J89" s="53">
        <v>85</v>
      </c>
      <c r="K89" s="53" t="s">
        <v>232</v>
      </c>
      <c r="L89" s="53">
        <v>95</v>
      </c>
      <c r="M89" s="53">
        <v>95</v>
      </c>
      <c r="N89" s="53" t="s">
        <v>295</v>
      </c>
      <c r="O89" s="53"/>
      <c r="P89" s="54" t="s">
        <v>514</v>
      </c>
      <c r="Q89" s="54" t="s">
        <v>515</v>
      </c>
      <c r="R89" s="54" t="s">
        <v>516</v>
      </c>
    </row>
    <row r="90" spans="1:18" ht="294" customHeight="1">
      <c r="A90" s="53">
        <v>10</v>
      </c>
      <c r="B90" s="53" t="s">
        <v>132</v>
      </c>
      <c r="C90" s="54" t="s">
        <v>133</v>
      </c>
      <c r="D90" s="53" t="s">
        <v>203</v>
      </c>
      <c r="E90" s="53" t="s">
        <v>243</v>
      </c>
      <c r="F90" s="53" t="s">
        <v>304</v>
      </c>
      <c r="G90" s="53">
        <v>7</v>
      </c>
      <c r="H90" s="53">
        <v>5</v>
      </c>
      <c r="I90" s="55">
        <f t="shared" ref="I90:I121" si="9">IF(G90=0,"n/a",H90/G90)</f>
        <v>0.7142857142857143</v>
      </c>
      <c r="J90" s="53">
        <v>85</v>
      </c>
      <c r="K90" s="53" t="s">
        <v>232</v>
      </c>
      <c r="L90" s="53">
        <v>95</v>
      </c>
      <c r="M90" s="53">
        <v>90</v>
      </c>
      <c r="N90" s="53" t="s">
        <v>295</v>
      </c>
      <c r="O90" s="53"/>
      <c r="P90" s="54" t="s">
        <v>517</v>
      </c>
      <c r="Q90" s="54" t="s">
        <v>518</v>
      </c>
      <c r="R90" s="54" t="s">
        <v>519</v>
      </c>
    </row>
    <row r="91" spans="1:18" ht="280" customHeight="1">
      <c r="A91" s="53">
        <v>10</v>
      </c>
      <c r="B91" s="53" t="s">
        <v>132</v>
      </c>
      <c r="C91" s="54" t="s">
        <v>133</v>
      </c>
      <c r="D91" s="53" t="s">
        <v>204</v>
      </c>
      <c r="E91" s="53" t="s">
        <v>259</v>
      </c>
      <c r="F91" s="53" t="s">
        <v>304</v>
      </c>
      <c r="G91" s="53">
        <v>7</v>
      </c>
      <c r="H91" s="53">
        <v>7</v>
      </c>
      <c r="I91" s="55">
        <f t="shared" si="9"/>
        <v>1</v>
      </c>
      <c r="J91" s="53">
        <v>90</v>
      </c>
      <c r="K91" s="53" t="s">
        <v>232</v>
      </c>
      <c r="L91" s="53">
        <v>95</v>
      </c>
      <c r="M91" s="53">
        <v>90</v>
      </c>
      <c r="N91" s="53" t="s">
        <v>295</v>
      </c>
      <c r="O91" s="53"/>
      <c r="P91" s="54" t="s">
        <v>520</v>
      </c>
      <c r="Q91" s="54" t="s">
        <v>521</v>
      </c>
      <c r="R91" s="54" t="s">
        <v>522</v>
      </c>
    </row>
    <row r="92" spans="1:18" ht="112" customHeight="1">
      <c r="A92" s="53">
        <v>10</v>
      </c>
      <c r="B92" s="53" t="s">
        <v>135</v>
      </c>
      <c r="C92" s="54" t="s">
        <v>136</v>
      </c>
      <c r="D92" s="53" t="s">
        <v>202</v>
      </c>
      <c r="E92" s="53" t="s">
        <v>228</v>
      </c>
      <c r="F92" s="53" t="s">
        <v>407</v>
      </c>
      <c r="G92" s="53">
        <v>1</v>
      </c>
      <c r="H92" s="53">
        <v>0</v>
      </c>
      <c r="I92" s="55">
        <f t="shared" si="9"/>
        <v>0</v>
      </c>
      <c r="J92" s="53">
        <v>100</v>
      </c>
      <c r="K92" s="53" t="s">
        <v>221</v>
      </c>
      <c r="L92" s="53">
        <v>0</v>
      </c>
      <c r="M92" s="53">
        <v>100</v>
      </c>
      <c r="N92" s="53" t="s">
        <v>295</v>
      </c>
      <c r="O92" s="53">
        <v>5</v>
      </c>
      <c r="P92" s="54" t="s">
        <v>408</v>
      </c>
      <c r="Q92" s="54"/>
      <c r="R92" s="54" t="s">
        <v>409</v>
      </c>
    </row>
    <row r="93" spans="1:18" ht="140" customHeight="1">
      <c r="A93" s="53">
        <v>10</v>
      </c>
      <c r="B93" s="53" t="s">
        <v>135</v>
      </c>
      <c r="C93" s="54" t="s">
        <v>136</v>
      </c>
      <c r="D93" s="53" t="s">
        <v>203</v>
      </c>
      <c r="E93" s="53" t="s">
        <v>244</v>
      </c>
      <c r="F93" s="53" t="s">
        <v>407</v>
      </c>
      <c r="G93" s="53">
        <v>1</v>
      </c>
      <c r="H93" s="53">
        <v>0</v>
      </c>
      <c r="I93" s="55">
        <f t="shared" si="9"/>
        <v>0</v>
      </c>
      <c r="J93" s="53">
        <v>100</v>
      </c>
      <c r="K93" s="53" t="s">
        <v>221</v>
      </c>
      <c r="L93" s="53">
        <v>0</v>
      </c>
      <c r="M93" s="53">
        <v>100</v>
      </c>
      <c r="N93" s="53" t="s">
        <v>295</v>
      </c>
      <c r="O93" s="53">
        <v>5</v>
      </c>
      <c r="P93" s="54" t="s">
        <v>410</v>
      </c>
      <c r="Q93" s="54"/>
      <c r="R93" s="54" t="s">
        <v>411</v>
      </c>
    </row>
    <row r="94" spans="1:18" ht="182" customHeight="1">
      <c r="A94" s="53">
        <v>10</v>
      </c>
      <c r="B94" s="53" t="s">
        <v>135</v>
      </c>
      <c r="C94" s="54" t="s">
        <v>136</v>
      </c>
      <c r="D94" s="53" t="s">
        <v>204</v>
      </c>
      <c r="E94" s="53" t="s">
        <v>260</v>
      </c>
      <c r="F94" s="53" t="s">
        <v>407</v>
      </c>
      <c r="G94" s="53">
        <v>1</v>
      </c>
      <c r="H94" s="53">
        <v>0</v>
      </c>
      <c r="I94" s="55">
        <f t="shared" si="9"/>
        <v>0</v>
      </c>
      <c r="J94" s="53">
        <v>100</v>
      </c>
      <c r="K94" s="53" t="s">
        <v>221</v>
      </c>
      <c r="L94" s="53">
        <v>0</v>
      </c>
      <c r="M94" s="53">
        <v>100</v>
      </c>
      <c r="N94" s="53" t="s">
        <v>295</v>
      </c>
      <c r="O94" s="53">
        <v>5</v>
      </c>
      <c r="P94" s="54" t="s">
        <v>412</v>
      </c>
      <c r="Q94" s="54"/>
      <c r="R94" s="54" t="s">
        <v>413</v>
      </c>
    </row>
    <row r="95" spans="1:18" ht="364" customHeight="1">
      <c r="A95" s="53">
        <v>10</v>
      </c>
      <c r="B95" s="53" t="s">
        <v>138</v>
      </c>
      <c r="C95" s="54" t="s">
        <v>139</v>
      </c>
      <c r="D95" s="53" t="s">
        <v>202</v>
      </c>
      <c r="E95" s="53" t="s">
        <v>229</v>
      </c>
      <c r="F95" s="53" t="s">
        <v>415</v>
      </c>
      <c r="G95" s="53">
        <v>4</v>
      </c>
      <c r="H95" s="53">
        <v>4</v>
      </c>
      <c r="I95" s="55">
        <f t="shared" si="9"/>
        <v>1</v>
      </c>
      <c r="J95" s="53">
        <v>75</v>
      </c>
      <c r="K95" s="53" t="s">
        <v>232</v>
      </c>
      <c r="L95" s="53">
        <v>90</v>
      </c>
      <c r="M95" s="53">
        <v>95</v>
      </c>
      <c r="N95" s="53" t="s">
        <v>295</v>
      </c>
      <c r="O95" s="53"/>
      <c r="P95" s="54" t="s">
        <v>523</v>
      </c>
      <c r="Q95" s="54" t="s">
        <v>524</v>
      </c>
      <c r="R95" s="54" t="s">
        <v>525</v>
      </c>
    </row>
    <row r="96" spans="1:18" ht="378" customHeight="1">
      <c r="A96" s="53">
        <v>10</v>
      </c>
      <c r="B96" s="53" t="s">
        <v>138</v>
      </c>
      <c r="C96" s="54" t="s">
        <v>139</v>
      </c>
      <c r="D96" s="53" t="s">
        <v>203</v>
      </c>
      <c r="E96" s="53" t="s">
        <v>526</v>
      </c>
      <c r="F96" s="53" t="s">
        <v>415</v>
      </c>
      <c r="G96" s="53">
        <v>4</v>
      </c>
      <c r="H96" s="53">
        <v>2</v>
      </c>
      <c r="I96" s="55">
        <f t="shared" si="9"/>
        <v>0.5</v>
      </c>
      <c r="J96" s="53">
        <v>90</v>
      </c>
      <c r="K96" s="53" t="s">
        <v>232</v>
      </c>
      <c r="L96" s="53">
        <v>55</v>
      </c>
      <c r="M96" s="53">
        <v>95</v>
      </c>
      <c r="N96" s="53" t="s">
        <v>295</v>
      </c>
      <c r="O96" s="53"/>
      <c r="P96" s="54" t="s">
        <v>527</v>
      </c>
      <c r="Q96" s="54" t="s">
        <v>528</v>
      </c>
      <c r="R96" s="54" t="s">
        <v>529</v>
      </c>
    </row>
    <row r="97" spans="1:18" ht="409.5" customHeight="1">
      <c r="A97" s="53">
        <v>10</v>
      </c>
      <c r="B97" s="53" t="s">
        <v>138</v>
      </c>
      <c r="C97" s="54" t="s">
        <v>139</v>
      </c>
      <c r="D97" s="53" t="s">
        <v>204</v>
      </c>
      <c r="E97" s="53" t="s">
        <v>530</v>
      </c>
      <c r="F97" s="53" t="s">
        <v>415</v>
      </c>
      <c r="G97" s="53">
        <v>4</v>
      </c>
      <c r="H97" s="53">
        <v>4</v>
      </c>
      <c r="I97" s="55">
        <f t="shared" si="9"/>
        <v>1</v>
      </c>
      <c r="J97" s="53">
        <v>90</v>
      </c>
      <c r="K97" s="53" t="s">
        <v>232</v>
      </c>
      <c r="L97" s="53">
        <v>90</v>
      </c>
      <c r="M97" s="53">
        <v>95</v>
      </c>
      <c r="N97" s="53" t="s">
        <v>295</v>
      </c>
      <c r="O97" s="53"/>
      <c r="P97" s="54" t="s">
        <v>531</v>
      </c>
      <c r="Q97" s="54" t="s">
        <v>532</v>
      </c>
      <c r="R97" s="54" t="s">
        <v>533</v>
      </c>
    </row>
    <row r="98" spans="1:18" ht="168" customHeight="1">
      <c r="A98" s="53">
        <v>10</v>
      </c>
      <c r="B98" s="53" t="s">
        <v>141</v>
      </c>
      <c r="C98" s="54" t="s">
        <v>142</v>
      </c>
      <c r="D98" s="53" t="s">
        <v>202</v>
      </c>
      <c r="E98" s="53" t="s">
        <v>230</v>
      </c>
      <c r="F98" s="53" t="s">
        <v>427</v>
      </c>
      <c r="G98" s="53">
        <v>4</v>
      </c>
      <c r="H98" s="53">
        <v>4</v>
      </c>
      <c r="I98" s="55">
        <f t="shared" si="9"/>
        <v>1</v>
      </c>
      <c r="J98" s="53">
        <v>100</v>
      </c>
      <c r="K98" s="53" t="s">
        <v>221</v>
      </c>
      <c r="L98" s="53">
        <v>85</v>
      </c>
      <c r="M98" s="53">
        <v>85</v>
      </c>
      <c r="N98" s="53" t="s">
        <v>295</v>
      </c>
      <c r="O98" s="53">
        <v>5</v>
      </c>
      <c r="P98" s="54" t="s">
        <v>428</v>
      </c>
      <c r="Q98" s="54"/>
      <c r="R98" s="54" t="s">
        <v>429</v>
      </c>
    </row>
    <row r="99" spans="1:18" ht="112" customHeight="1">
      <c r="A99" s="53">
        <v>10</v>
      </c>
      <c r="B99" s="53" t="s">
        <v>141</v>
      </c>
      <c r="C99" s="54" t="s">
        <v>142</v>
      </c>
      <c r="D99" s="53" t="s">
        <v>203</v>
      </c>
      <c r="E99" s="53" t="s">
        <v>246</v>
      </c>
      <c r="F99" s="53" t="s">
        <v>427</v>
      </c>
      <c r="G99" s="53">
        <v>4</v>
      </c>
      <c r="H99" s="53">
        <v>4</v>
      </c>
      <c r="I99" s="55">
        <f t="shared" si="9"/>
        <v>1</v>
      </c>
      <c r="J99" s="53">
        <v>85</v>
      </c>
      <c r="K99" s="53" t="s">
        <v>232</v>
      </c>
      <c r="L99" s="53">
        <v>85</v>
      </c>
      <c r="M99" s="53">
        <v>85</v>
      </c>
      <c r="N99" s="53" t="s">
        <v>295</v>
      </c>
      <c r="O99" s="53"/>
      <c r="P99" s="54" t="s">
        <v>534</v>
      </c>
      <c r="Q99" s="54" t="s">
        <v>535</v>
      </c>
      <c r="R99" s="54" t="s">
        <v>536</v>
      </c>
    </row>
    <row r="100" spans="1:18" ht="140" customHeight="1">
      <c r="A100" s="53">
        <v>10</v>
      </c>
      <c r="B100" s="53" t="s">
        <v>141</v>
      </c>
      <c r="C100" s="54" t="s">
        <v>142</v>
      </c>
      <c r="D100" s="53" t="s">
        <v>204</v>
      </c>
      <c r="E100" s="53" t="s">
        <v>262</v>
      </c>
      <c r="F100" s="53" t="s">
        <v>427</v>
      </c>
      <c r="G100" s="53">
        <v>4</v>
      </c>
      <c r="H100" s="53">
        <v>4</v>
      </c>
      <c r="I100" s="55">
        <f t="shared" si="9"/>
        <v>1</v>
      </c>
      <c r="J100" s="53">
        <v>90</v>
      </c>
      <c r="K100" s="53" t="s">
        <v>232</v>
      </c>
      <c r="L100" s="53">
        <v>90</v>
      </c>
      <c r="M100" s="53">
        <v>75</v>
      </c>
      <c r="N100" s="53" t="s">
        <v>295</v>
      </c>
      <c r="O100" s="53"/>
      <c r="P100" s="54" t="s">
        <v>537</v>
      </c>
      <c r="Q100" s="54" t="s">
        <v>538</v>
      </c>
      <c r="R100" s="54" t="s">
        <v>539</v>
      </c>
    </row>
    <row r="101" spans="1:18" ht="112" customHeight="1">
      <c r="A101" s="53">
        <v>10</v>
      </c>
      <c r="B101" s="53" t="s">
        <v>144</v>
      </c>
      <c r="C101" s="54" t="s">
        <v>145</v>
      </c>
      <c r="D101" s="53" t="s">
        <v>202</v>
      </c>
      <c r="E101" s="53" t="s">
        <v>231</v>
      </c>
      <c r="F101" s="53" t="s">
        <v>438</v>
      </c>
      <c r="G101" s="53">
        <v>1</v>
      </c>
      <c r="H101" s="53">
        <v>1</v>
      </c>
      <c r="I101" s="55">
        <f t="shared" si="9"/>
        <v>1</v>
      </c>
      <c r="J101" s="53">
        <v>85</v>
      </c>
      <c r="K101" s="53" t="s">
        <v>232</v>
      </c>
      <c r="L101" s="53">
        <v>90</v>
      </c>
      <c r="M101" s="53">
        <v>100</v>
      </c>
      <c r="N101" s="53" t="s">
        <v>295</v>
      </c>
      <c r="O101" s="53">
        <v>5</v>
      </c>
      <c r="P101" s="54" t="s">
        <v>439</v>
      </c>
      <c r="Q101" s="54" t="s">
        <v>440</v>
      </c>
      <c r="R101" s="54" t="s">
        <v>441</v>
      </c>
    </row>
    <row r="102" spans="1:18" ht="126" customHeight="1">
      <c r="A102" s="53">
        <v>10</v>
      </c>
      <c r="B102" s="53" t="s">
        <v>144</v>
      </c>
      <c r="C102" s="54" t="s">
        <v>145</v>
      </c>
      <c r="D102" s="53" t="s">
        <v>203</v>
      </c>
      <c r="E102" s="53" t="s">
        <v>247</v>
      </c>
      <c r="F102" s="53" t="s">
        <v>438</v>
      </c>
      <c r="G102" s="53">
        <v>1</v>
      </c>
      <c r="H102" s="53">
        <v>1</v>
      </c>
      <c r="I102" s="55">
        <f t="shared" si="9"/>
        <v>1</v>
      </c>
      <c r="J102" s="53">
        <v>90</v>
      </c>
      <c r="K102" s="53" t="s">
        <v>232</v>
      </c>
      <c r="L102" s="53">
        <v>90</v>
      </c>
      <c r="M102" s="53">
        <v>95</v>
      </c>
      <c r="N102" s="53" t="s">
        <v>295</v>
      </c>
      <c r="O102" s="53"/>
      <c r="P102" s="54" t="s">
        <v>540</v>
      </c>
      <c r="Q102" s="54" t="s">
        <v>541</v>
      </c>
      <c r="R102" s="54" t="s">
        <v>542</v>
      </c>
    </row>
    <row r="103" spans="1:18" ht="70" customHeight="1">
      <c r="A103" s="53">
        <v>10</v>
      </c>
      <c r="B103" s="53" t="s">
        <v>144</v>
      </c>
      <c r="C103" s="54" t="s">
        <v>145</v>
      </c>
      <c r="D103" s="53" t="s">
        <v>204</v>
      </c>
      <c r="E103" s="53" t="s">
        <v>263</v>
      </c>
      <c r="F103" s="53" t="s">
        <v>438</v>
      </c>
      <c r="G103" s="53">
        <v>1</v>
      </c>
      <c r="H103" s="53">
        <v>1</v>
      </c>
      <c r="I103" s="55">
        <f t="shared" si="9"/>
        <v>1</v>
      </c>
      <c r="J103" s="53">
        <v>100</v>
      </c>
      <c r="K103" s="53" t="s">
        <v>221</v>
      </c>
      <c r="L103" s="53">
        <v>100</v>
      </c>
      <c r="M103" s="53">
        <v>90</v>
      </c>
      <c r="N103" s="53" t="s">
        <v>295</v>
      </c>
      <c r="O103" s="53"/>
      <c r="P103" s="54" t="s">
        <v>543</v>
      </c>
      <c r="Q103" s="54"/>
      <c r="R103" s="54"/>
    </row>
    <row r="104" spans="1:18" ht="224" customHeight="1">
      <c r="A104" s="53">
        <v>10</v>
      </c>
      <c r="B104" s="53" t="s">
        <v>147</v>
      </c>
      <c r="C104" s="54" t="s">
        <v>148</v>
      </c>
      <c r="D104" s="53" t="s">
        <v>202</v>
      </c>
      <c r="E104" s="53" t="s">
        <v>233</v>
      </c>
      <c r="F104" s="53" t="s">
        <v>234</v>
      </c>
      <c r="G104" s="53">
        <v>0</v>
      </c>
      <c r="H104" s="53">
        <v>0</v>
      </c>
      <c r="I104" s="55" t="str">
        <f t="shared" si="9"/>
        <v>n/a</v>
      </c>
      <c r="J104" s="53">
        <v>85</v>
      </c>
      <c r="K104" s="53" t="s">
        <v>232</v>
      </c>
      <c r="L104" s="53" t="s">
        <v>295</v>
      </c>
      <c r="M104" s="53">
        <v>100</v>
      </c>
      <c r="N104" s="53" t="s">
        <v>221</v>
      </c>
      <c r="O104" s="53">
        <v>5</v>
      </c>
      <c r="P104" s="54" t="s">
        <v>449</v>
      </c>
      <c r="Q104" s="54" t="s">
        <v>450</v>
      </c>
      <c r="R104" s="54"/>
    </row>
    <row r="105" spans="1:18" ht="154" customHeight="1">
      <c r="A105" s="53">
        <v>10</v>
      </c>
      <c r="B105" s="53" t="s">
        <v>147</v>
      </c>
      <c r="C105" s="54" t="s">
        <v>148</v>
      </c>
      <c r="D105" s="53" t="s">
        <v>203</v>
      </c>
      <c r="E105" s="53" t="s">
        <v>248</v>
      </c>
      <c r="F105" s="53" t="s">
        <v>234</v>
      </c>
      <c r="G105" s="53">
        <v>0</v>
      </c>
      <c r="H105" s="53">
        <v>0</v>
      </c>
      <c r="I105" s="55" t="str">
        <f t="shared" si="9"/>
        <v>n/a</v>
      </c>
      <c r="J105" s="53">
        <v>100</v>
      </c>
      <c r="K105" s="53" t="s">
        <v>221</v>
      </c>
      <c r="L105" s="53" t="s">
        <v>295</v>
      </c>
      <c r="M105" s="53">
        <v>100</v>
      </c>
      <c r="N105" s="53" t="s">
        <v>221</v>
      </c>
      <c r="O105" s="53">
        <v>5</v>
      </c>
      <c r="P105" s="54" t="s">
        <v>451</v>
      </c>
      <c r="Q105" s="54"/>
      <c r="R105" s="54"/>
    </row>
    <row r="106" spans="1:18" ht="154" customHeight="1">
      <c r="A106" s="53">
        <v>10</v>
      </c>
      <c r="B106" s="53" t="s">
        <v>147</v>
      </c>
      <c r="C106" s="54" t="s">
        <v>148</v>
      </c>
      <c r="D106" s="53" t="s">
        <v>204</v>
      </c>
      <c r="E106" s="53" t="s">
        <v>264</v>
      </c>
      <c r="F106" s="53" t="s">
        <v>234</v>
      </c>
      <c r="G106" s="53">
        <v>0</v>
      </c>
      <c r="H106" s="53">
        <v>0</v>
      </c>
      <c r="I106" s="55" t="str">
        <f t="shared" si="9"/>
        <v>n/a</v>
      </c>
      <c r="J106" s="53">
        <v>100</v>
      </c>
      <c r="K106" s="53" t="s">
        <v>221</v>
      </c>
      <c r="L106" s="53" t="s">
        <v>295</v>
      </c>
      <c r="M106" s="53">
        <v>100</v>
      </c>
      <c r="N106" s="53" t="s">
        <v>221</v>
      </c>
      <c r="O106" s="53">
        <v>5</v>
      </c>
      <c r="P106" s="54" t="s">
        <v>452</v>
      </c>
      <c r="Q106" s="54"/>
      <c r="R106" s="54"/>
    </row>
    <row r="107" spans="1:18" ht="42" customHeight="1">
      <c r="A107" s="53">
        <v>10</v>
      </c>
      <c r="B107" s="53" t="s">
        <v>150</v>
      </c>
      <c r="C107" s="54" t="s">
        <v>151</v>
      </c>
      <c r="D107" s="53" t="s">
        <v>202</v>
      </c>
      <c r="E107" s="53" t="s">
        <v>234</v>
      </c>
      <c r="F107" s="53" t="s">
        <v>234</v>
      </c>
      <c r="G107" s="53">
        <v>0</v>
      </c>
      <c r="H107" s="53">
        <v>0</v>
      </c>
      <c r="I107" s="55" t="str">
        <f t="shared" si="9"/>
        <v>n/a</v>
      </c>
      <c r="J107" s="53" t="s">
        <v>329</v>
      </c>
      <c r="K107" s="53" t="s">
        <v>295</v>
      </c>
      <c r="L107" s="53" t="s">
        <v>295</v>
      </c>
      <c r="M107" s="53" t="s">
        <v>295</v>
      </c>
      <c r="N107" s="53" t="s">
        <v>221</v>
      </c>
      <c r="O107" s="53">
        <v>5</v>
      </c>
      <c r="P107" s="54" t="s">
        <v>330</v>
      </c>
      <c r="Q107" s="54"/>
      <c r="R107" s="54"/>
    </row>
    <row r="108" spans="1:18" ht="126" customHeight="1">
      <c r="A108" s="53">
        <v>10</v>
      </c>
      <c r="B108" s="53" t="s">
        <v>150</v>
      </c>
      <c r="C108" s="54" t="s">
        <v>151</v>
      </c>
      <c r="D108" s="53" t="s">
        <v>203</v>
      </c>
      <c r="E108" s="53" t="s">
        <v>249</v>
      </c>
      <c r="F108" s="53" t="s">
        <v>234</v>
      </c>
      <c r="G108" s="53">
        <v>0</v>
      </c>
      <c r="H108" s="53">
        <v>0</v>
      </c>
      <c r="I108" s="55" t="str">
        <f t="shared" si="9"/>
        <v>n/a</v>
      </c>
      <c r="J108" s="53">
        <v>100</v>
      </c>
      <c r="K108" s="53" t="s">
        <v>221</v>
      </c>
      <c r="L108" s="53" t="s">
        <v>295</v>
      </c>
      <c r="M108" s="53">
        <v>100</v>
      </c>
      <c r="N108" s="53" t="s">
        <v>221</v>
      </c>
      <c r="O108" s="53"/>
      <c r="P108" s="54" t="s">
        <v>544</v>
      </c>
      <c r="Q108" s="54"/>
      <c r="R108" s="54"/>
    </row>
    <row r="109" spans="1:18" ht="140" customHeight="1">
      <c r="A109" s="53">
        <v>10</v>
      </c>
      <c r="B109" s="53" t="s">
        <v>150</v>
      </c>
      <c r="C109" s="54" t="s">
        <v>151</v>
      </c>
      <c r="D109" s="53" t="s">
        <v>204</v>
      </c>
      <c r="E109" s="53" t="s">
        <v>249</v>
      </c>
      <c r="F109" s="53" t="s">
        <v>234</v>
      </c>
      <c r="G109" s="53">
        <v>0</v>
      </c>
      <c r="H109" s="53">
        <v>0</v>
      </c>
      <c r="I109" s="55" t="str">
        <f t="shared" si="9"/>
        <v>n/a</v>
      </c>
      <c r="J109" s="53">
        <v>75</v>
      </c>
      <c r="K109" s="53" t="s">
        <v>232</v>
      </c>
      <c r="L109" s="53" t="s">
        <v>295</v>
      </c>
      <c r="M109" s="53">
        <v>100</v>
      </c>
      <c r="N109" s="53" t="s">
        <v>221</v>
      </c>
      <c r="O109" s="53"/>
      <c r="P109" s="54" t="s">
        <v>545</v>
      </c>
      <c r="Q109" s="54" t="s">
        <v>546</v>
      </c>
      <c r="R109" s="54"/>
    </row>
    <row r="110" spans="1:18" ht="154" customHeight="1">
      <c r="A110" s="53">
        <v>10</v>
      </c>
      <c r="B110" s="53" t="s">
        <v>8</v>
      </c>
      <c r="C110" s="54" t="s">
        <v>9</v>
      </c>
      <c r="D110" s="53" t="s">
        <v>202</v>
      </c>
      <c r="E110" s="53" t="s">
        <v>235</v>
      </c>
      <c r="F110" s="53" t="s">
        <v>235</v>
      </c>
      <c r="G110" s="53">
        <v>1</v>
      </c>
      <c r="H110" s="53">
        <v>1</v>
      </c>
      <c r="I110" s="55">
        <f t="shared" si="9"/>
        <v>1</v>
      </c>
      <c r="J110" s="53">
        <v>100</v>
      </c>
      <c r="K110" s="53" t="s">
        <v>221</v>
      </c>
      <c r="L110" s="53">
        <v>100</v>
      </c>
      <c r="M110" s="53">
        <v>100</v>
      </c>
      <c r="N110" s="53" t="s">
        <v>295</v>
      </c>
      <c r="O110" s="53">
        <v>5</v>
      </c>
      <c r="P110" s="54" t="s">
        <v>455</v>
      </c>
      <c r="Q110" s="54"/>
      <c r="R110" s="54"/>
    </row>
    <row r="111" spans="1:18" ht="154" customHeight="1">
      <c r="A111" s="53">
        <v>10</v>
      </c>
      <c r="B111" s="53" t="s">
        <v>8</v>
      </c>
      <c r="C111" s="54" t="s">
        <v>9</v>
      </c>
      <c r="D111" s="53" t="s">
        <v>203</v>
      </c>
      <c r="E111" s="53" t="s">
        <v>547</v>
      </c>
      <c r="F111" s="53" t="s">
        <v>235</v>
      </c>
      <c r="G111" s="53">
        <v>1</v>
      </c>
      <c r="H111" s="53">
        <v>1</v>
      </c>
      <c r="I111" s="55">
        <f t="shared" si="9"/>
        <v>1</v>
      </c>
      <c r="J111" s="53">
        <v>80</v>
      </c>
      <c r="K111" s="53" t="s">
        <v>232</v>
      </c>
      <c r="L111" s="53">
        <v>100</v>
      </c>
      <c r="M111" s="53">
        <v>100</v>
      </c>
      <c r="N111" s="53" t="s">
        <v>295</v>
      </c>
      <c r="O111" s="53"/>
      <c r="P111" s="54" t="s">
        <v>548</v>
      </c>
      <c r="Q111" s="54" t="s">
        <v>549</v>
      </c>
      <c r="R111" s="54"/>
    </row>
    <row r="112" spans="1:18" ht="154" customHeight="1">
      <c r="A112" s="53">
        <v>10</v>
      </c>
      <c r="B112" s="53" t="s">
        <v>8</v>
      </c>
      <c r="C112" s="54" t="s">
        <v>9</v>
      </c>
      <c r="D112" s="53" t="s">
        <v>204</v>
      </c>
      <c r="E112" s="53" t="s">
        <v>547</v>
      </c>
      <c r="F112" s="53" t="s">
        <v>235</v>
      </c>
      <c r="G112" s="53">
        <v>1</v>
      </c>
      <c r="H112" s="53">
        <v>1</v>
      </c>
      <c r="I112" s="55">
        <f t="shared" si="9"/>
        <v>1</v>
      </c>
      <c r="J112" s="53">
        <v>85</v>
      </c>
      <c r="K112" s="53" t="s">
        <v>232</v>
      </c>
      <c r="L112" s="53">
        <v>100</v>
      </c>
      <c r="M112" s="53">
        <v>100</v>
      </c>
      <c r="N112" s="53" t="s">
        <v>295</v>
      </c>
      <c r="O112" s="53"/>
      <c r="P112" s="54" t="s">
        <v>550</v>
      </c>
      <c r="Q112" s="54" t="s">
        <v>551</v>
      </c>
      <c r="R112" s="54"/>
    </row>
    <row r="113" spans="1:18" ht="210" customHeight="1">
      <c r="A113" s="53">
        <v>10</v>
      </c>
      <c r="B113" s="53" t="s">
        <v>30</v>
      </c>
      <c r="C113" s="54" t="s">
        <v>31</v>
      </c>
      <c r="D113" s="53" t="s">
        <v>202</v>
      </c>
      <c r="E113" s="53" t="s">
        <v>233</v>
      </c>
      <c r="F113" s="53" t="s">
        <v>460</v>
      </c>
      <c r="G113" s="53">
        <v>1</v>
      </c>
      <c r="H113" s="53">
        <v>1</v>
      </c>
      <c r="I113" s="55">
        <f t="shared" si="9"/>
        <v>1</v>
      </c>
      <c r="J113" s="53">
        <v>95</v>
      </c>
      <c r="K113" s="53" t="s">
        <v>232</v>
      </c>
      <c r="L113" s="53">
        <v>95</v>
      </c>
      <c r="M113" s="53">
        <v>95</v>
      </c>
      <c r="N113" s="53" t="s">
        <v>295</v>
      </c>
      <c r="O113" s="53">
        <v>5</v>
      </c>
      <c r="P113" s="54" t="s">
        <v>461</v>
      </c>
      <c r="Q113" s="54" t="s">
        <v>462</v>
      </c>
      <c r="R113" s="54" t="s">
        <v>463</v>
      </c>
    </row>
    <row r="114" spans="1:18" ht="364" customHeight="1">
      <c r="A114" s="53">
        <v>10</v>
      </c>
      <c r="B114" s="53" t="s">
        <v>30</v>
      </c>
      <c r="C114" s="54" t="s">
        <v>31</v>
      </c>
      <c r="D114" s="53" t="s">
        <v>203</v>
      </c>
      <c r="E114" s="53" t="s">
        <v>251</v>
      </c>
      <c r="F114" s="53" t="s">
        <v>460</v>
      </c>
      <c r="G114" s="53">
        <v>1</v>
      </c>
      <c r="H114" s="53">
        <v>1</v>
      </c>
      <c r="I114" s="55">
        <f t="shared" si="9"/>
        <v>1</v>
      </c>
      <c r="J114" s="53">
        <v>90</v>
      </c>
      <c r="K114" s="53" t="s">
        <v>232</v>
      </c>
      <c r="L114" s="53">
        <v>95</v>
      </c>
      <c r="M114" s="53">
        <v>95</v>
      </c>
      <c r="N114" s="53" t="s">
        <v>295</v>
      </c>
      <c r="O114" s="53">
        <v>5</v>
      </c>
      <c r="P114" s="54" t="s">
        <v>464</v>
      </c>
      <c r="Q114" s="54" t="s">
        <v>465</v>
      </c>
      <c r="R114" s="54" t="s">
        <v>466</v>
      </c>
    </row>
    <row r="115" spans="1:18" ht="252" customHeight="1">
      <c r="A115" s="53">
        <v>10</v>
      </c>
      <c r="B115" s="53" t="s">
        <v>30</v>
      </c>
      <c r="C115" s="54" t="s">
        <v>31</v>
      </c>
      <c r="D115" s="53" t="s">
        <v>204</v>
      </c>
      <c r="E115" s="53" t="s">
        <v>265</v>
      </c>
      <c r="F115" s="53" t="s">
        <v>460</v>
      </c>
      <c r="G115" s="53">
        <v>1</v>
      </c>
      <c r="H115" s="53">
        <v>1</v>
      </c>
      <c r="I115" s="55">
        <f t="shared" si="9"/>
        <v>1</v>
      </c>
      <c r="J115" s="53">
        <v>95</v>
      </c>
      <c r="K115" s="53" t="s">
        <v>232</v>
      </c>
      <c r="L115" s="53">
        <v>100</v>
      </c>
      <c r="M115" s="53">
        <v>95</v>
      </c>
      <c r="N115" s="53" t="s">
        <v>295</v>
      </c>
      <c r="O115" s="53">
        <v>5</v>
      </c>
      <c r="P115" s="54" t="s">
        <v>467</v>
      </c>
      <c r="Q115" s="54" t="s">
        <v>468</v>
      </c>
      <c r="R115" s="54"/>
    </row>
    <row r="116" spans="1:18" ht="322" customHeight="1">
      <c r="A116" s="53">
        <v>10</v>
      </c>
      <c r="B116" s="53" t="s">
        <v>38</v>
      </c>
      <c r="C116" s="54" t="s">
        <v>39</v>
      </c>
      <c r="D116" s="53" t="s">
        <v>202</v>
      </c>
      <c r="E116" s="53" t="s">
        <v>236</v>
      </c>
      <c r="F116" s="53" t="s">
        <v>359</v>
      </c>
      <c r="G116" s="53">
        <v>2</v>
      </c>
      <c r="H116" s="53">
        <v>1</v>
      </c>
      <c r="I116" s="55">
        <f t="shared" si="9"/>
        <v>0.5</v>
      </c>
      <c r="J116" s="53">
        <v>100</v>
      </c>
      <c r="K116" s="53" t="s">
        <v>221</v>
      </c>
      <c r="L116" s="53">
        <v>90</v>
      </c>
      <c r="M116" s="53">
        <v>100</v>
      </c>
      <c r="N116" s="53" t="s">
        <v>295</v>
      </c>
      <c r="O116" s="53">
        <v>5</v>
      </c>
      <c r="P116" s="54" t="s">
        <v>469</v>
      </c>
      <c r="Q116" s="54"/>
      <c r="R116" s="54" t="s">
        <v>470</v>
      </c>
    </row>
    <row r="117" spans="1:18" ht="322" customHeight="1">
      <c r="A117" s="53">
        <v>10</v>
      </c>
      <c r="B117" s="53" t="s">
        <v>38</v>
      </c>
      <c r="C117" s="54" t="s">
        <v>39</v>
      </c>
      <c r="D117" s="53" t="s">
        <v>203</v>
      </c>
      <c r="E117" s="53" t="s">
        <v>252</v>
      </c>
      <c r="F117" s="53" t="s">
        <v>359</v>
      </c>
      <c r="G117" s="53">
        <v>2</v>
      </c>
      <c r="H117" s="53">
        <v>2</v>
      </c>
      <c r="I117" s="55">
        <f t="shared" si="9"/>
        <v>1</v>
      </c>
      <c r="J117" s="53">
        <v>95</v>
      </c>
      <c r="K117" s="53" t="s">
        <v>232</v>
      </c>
      <c r="L117" s="53">
        <v>95</v>
      </c>
      <c r="M117" s="53">
        <v>95</v>
      </c>
      <c r="N117" s="53" t="s">
        <v>295</v>
      </c>
      <c r="O117" s="53">
        <v>5</v>
      </c>
      <c r="P117" s="54" t="s">
        <v>471</v>
      </c>
      <c r="Q117" s="54" t="s">
        <v>472</v>
      </c>
      <c r="R117" s="54" t="s">
        <v>473</v>
      </c>
    </row>
    <row r="118" spans="1:18" ht="280" customHeight="1">
      <c r="A118" s="53">
        <v>10</v>
      </c>
      <c r="B118" s="53" t="s">
        <v>38</v>
      </c>
      <c r="C118" s="54" t="s">
        <v>39</v>
      </c>
      <c r="D118" s="53" t="s">
        <v>204</v>
      </c>
      <c r="E118" s="53" t="s">
        <v>266</v>
      </c>
      <c r="F118" s="53" t="s">
        <v>359</v>
      </c>
      <c r="G118" s="53">
        <v>2</v>
      </c>
      <c r="H118" s="53">
        <v>2</v>
      </c>
      <c r="I118" s="55">
        <f t="shared" si="9"/>
        <v>1</v>
      </c>
      <c r="J118" s="53">
        <v>90</v>
      </c>
      <c r="K118" s="53" t="s">
        <v>232</v>
      </c>
      <c r="L118" s="53">
        <v>95</v>
      </c>
      <c r="M118" s="53">
        <v>95</v>
      </c>
      <c r="N118" s="53" t="s">
        <v>295</v>
      </c>
      <c r="O118" s="53">
        <v>5</v>
      </c>
      <c r="P118" s="54" t="s">
        <v>474</v>
      </c>
      <c r="Q118" s="54" t="s">
        <v>475</v>
      </c>
      <c r="R118" s="54" t="s">
        <v>476</v>
      </c>
    </row>
    <row r="119" spans="1:18" ht="378" customHeight="1">
      <c r="A119" s="53">
        <v>10</v>
      </c>
      <c r="B119" s="53" t="s">
        <v>44</v>
      </c>
      <c r="C119" s="54" t="s">
        <v>45</v>
      </c>
      <c r="D119" s="53" t="s">
        <v>202</v>
      </c>
      <c r="E119" s="53" t="s">
        <v>237</v>
      </c>
      <c r="F119" s="53" t="s">
        <v>348</v>
      </c>
      <c r="G119" s="53">
        <v>3</v>
      </c>
      <c r="H119" s="53">
        <v>2</v>
      </c>
      <c r="I119" s="55">
        <f t="shared" si="9"/>
        <v>0.66666666666666663</v>
      </c>
      <c r="J119" s="53">
        <v>85</v>
      </c>
      <c r="K119" s="53" t="s">
        <v>232</v>
      </c>
      <c r="L119" s="53">
        <v>90</v>
      </c>
      <c r="M119" s="53">
        <v>95</v>
      </c>
      <c r="N119" s="53" t="s">
        <v>295</v>
      </c>
      <c r="O119" s="53">
        <v>5</v>
      </c>
      <c r="P119" s="54" t="s">
        <v>477</v>
      </c>
      <c r="Q119" s="54" t="s">
        <v>478</v>
      </c>
      <c r="R119" s="54" t="s">
        <v>479</v>
      </c>
    </row>
    <row r="120" spans="1:18" ht="392" customHeight="1">
      <c r="A120" s="53">
        <v>10</v>
      </c>
      <c r="B120" s="53" t="s">
        <v>44</v>
      </c>
      <c r="C120" s="54" t="s">
        <v>45</v>
      </c>
      <c r="D120" s="53" t="s">
        <v>203</v>
      </c>
      <c r="E120" s="53" t="s">
        <v>552</v>
      </c>
      <c r="F120" s="53" t="s">
        <v>348</v>
      </c>
      <c r="G120" s="53">
        <v>3</v>
      </c>
      <c r="H120" s="53">
        <v>3</v>
      </c>
      <c r="I120" s="55">
        <f t="shared" si="9"/>
        <v>1</v>
      </c>
      <c r="J120" s="53">
        <v>85</v>
      </c>
      <c r="K120" s="53" t="s">
        <v>232</v>
      </c>
      <c r="L120" s="53">
        <v>95</v>
      </c>
      <c r="M120" s="53">
        <v>95</v>
      </c>
      <c r="N120" s="53" t="s">
        <v>295</v>
      </c>
      <c r="O120" s="53"/>
      <c r="P120" s="54" t="s">
        <v>553</v>
      </c>
      <c r="Q120" s="54" t="s">
        <v>554</v>
      </c>
      <c r="R120" s="54" t="s">
        <v>555</v>
      </c>
    </row>
    <row r="121" spans="1:18" ht="336" customHeight="1">
      <c r="A121" s="53">
        <v>10</v>
      </c>
      <c r="B121" s="53" t="s">
        <v>44</v>
      </c>
      <c r="C121" s="54" t="s">
        <v>45</v>
      </c>
      <c r="D121" s="53" t="s">
        <v>204</v>
      </c>
      <c r="E121" s="53" t="s">
        <v>556</v>
      </c>
      <c r="F121" s="53" t="s">
        <v>348</v>
      </c>
      <c r="G121" s="53">
        <v>3</v>
      </c>
      <c r="H121" s="53">
        <v>3</v>
      </c>
      <c r="I121" s="55">
        <f t="shared" si="9"/>
        <v>1</v>
      </c>
      <c r="J121" s="53">
        <v>80</v>
      </c>
      <c r="K121" s="53" t="s">
        <v>232</v>
      </c>
      <c r="L121" s="53">
        <v>100</v>
      </c>
      <c r="M121" s="53">
        <v>95</v>
      </c>
      <c r="N121" s="53" t="s">
        <v>295</v>
      </c>
      <c r="O121" s="53"/>
      <c r="P121" s="54" t="s">
        <v>557</v>
      </c>
      <c r="Q121" s="54" t="s">
        <v>558</v>
      </c>
      <c r="R121" s="54"/>
    </row>
  </sheetData>
  <autoFilter ref="A25:R121"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80"/>
  <sheetViews>
    <sheetView workbookViewId="0">
      <pane xSplit="5" ySplit="16" topLeftCell="F17" activePane="bottomRight" state="frozen"/>
      <selection pane="topRight"/>
      <selection pane="bottomLeft"/>
      <selection pane="bottomRight"/>
    </sheetView>
  </sheetViews>
  <sheetFormatPr defaultRowHeight="14"/>
  <cols>
    <col min="1" max="1" width="24" customWidth="1"/>
    <col min="2" max="2" width="46" customWidth="1"/>
    <col min="3" max="3" width="11" customWidth="1"/>
    <col min="4" max="4" width="13" customWidth="1"/>
    <col min="5" max="5" width="11" customWidth="1"/>
    <col min="6" max="6" width="60" customWidth="1"/>
    <col min="7" max="7" width="12" customWidth="1"/>
    <col min="8" max="8" width="26" customWidth="1"/>
    <col min="9" max="10" width="50" customWidth="1"/>
  </cols>
  <sheetData>
    <row r="1" spans="1:10" ht="15.5">
      <c r="A1" s="29" t="s">
        <v>559</v>
      </c>
    </row>
    <row r="3" spans="1:10">
      <c r="A3" s="56" t="s">
        <v>560</v>
      </c>
      <c r="B3" s="56" t="s">
        <v>561</v>
      </c>
      <c r="C3" s="56" t="s">
        <v>562</v>
      </c>
      <c r="D3" s="56" t="s">
        <v>563</v>
      </c>
    </row>
    <row r="4" spans="1:10">
      <c r="A4" s="57" t="s">
        <v>564</v>
      </c>
      <c r="B4" s="57" t="s">
        <v>565</v>
      </c>
      <c r="C4" s="57">
        <f>COUNTIF($H$17:$H$180,A4)</f>
        <v>61</v>
      </c>
      <c r="D4" s="58">
        <f>C4/SUM($C$4:$C$8)</f>
        <v>0.37195121951219512</v>
      </c>
    </row>
    <row r="5" spans="1:10">
      <c r="A5" s="57" t="s">
        <v>566</v>
      </c>
      <c r="B5" s="57" t="s">
        <v>567</v>
      </c>
      <c r="C5" s="57">
        <f>COUNTIF($H$17:$H$180,A5)</f>
        <v>83</v>
      </c>
      <c r="D5" s="58">
        <f>C5/SUM($C$4:$C$8)</f>
        <v>0.50609756097560976</v>
      </c>
    </row>
    <row r="6" spans="1:10">
      <c r="A6" s="57" t="s">
        <v>568</v>
      </c>
      <c r="B6" s="57" t="s">
        <v>569</v>
      </c>
      <c r="C6" s="57">
        <f>COUNTIF($H$17:$H$180,A6)</f>
        <v>12</v>
      </c>
      <c r="D6" s="58">
        <f>C6/SUM($C$4:$C$8)</f>
        <v>7.3170731707317069E-2</v>
      </c>
    </row>
    <row r="7" spans="1:10">
      <c r="A7" s="57" t="s">
        <v>570</v>
      </c>
      <c r="B7" s="57" t="s">
        <v>571</v>
      </c>
      <c r="C7" s="57">
        <f>COUNTIF($H$17:$H$180,A7)</f>
        <v>3</v>
      </c>
      <c r="D7" s="58">
        <f>C7/SUM($C$4:$C$8)</f>
        <v>1.8292682926829267E-2</v>
      </c>
    </row>
    <row r="8" spans="1:10">
      <c r="A8" s="57" t="s">
        <v>572</v>
      </c>
      <c r="B8" s="57" t="s">
        <v>573</v>
      </c>
      <c r="C8" s="57">
        <f>COUNTIF($H$17:$H$180,A8)</f>
        <v>5</v>
      </c>
      <c r="D8" s="58">
        <f>C8/SUM($C$4:$C$8)</f>
        <v>3.048780487804878E-2</v>
      </c>
    </row>
    <row r="9" spans="1:10">
      <c r="A9" s="59" t="s">
        <v>574</v>
      </c>
      <c r="C9" s="59">
        <f>SUM(C4:C8)</f>
        <v>164</v>
      </c>
    </row>
    <row r="11" spans="1:10">
      <c r="A11" s="37" t="s">
        <v>575</v>
      </c>
    </row>
    <row r="12" spans="1:10">
      <c r="A12" s="37" t="s">
        <v>576</v>
      </c>
    </row>
    <row r="16" spans="1:10" ht="28">
      <c r="A16" s="60" t="s">
        <v>335</v>
      </c>
      <c r="B16" s="60" t="s">
        <v>0</v>
      </c>
      <c r="C16" s="60" t="s">
        <v>193</v>
      </c>
      <c r="D16" s="60" t="s">
        <v>286</v>
      </c>
      <c r="E16" s="60" t="s">
        <v>577</v>
      </c>
      <c r="F16" s="60" t="s">
        <v>578</v>
      </c>
      <c r="G16" s="60" t="s">
        <v>579</v>
      </c>
      <c r="H16" s="60" t="s">
        <v>560</v>
      </c>
      <c r="I16" s="60" t="s">
        <v>580</v>
      </c>
      <c r="J16" s="60" t="s">
        <v>581</v>
      </c>
    </row>
    <row r="17" spans="1:10" ht="42">
      <c r="A17" s="61">
        <v>5</v>
      </c>
      <c r="B17" s="61" t="s">
        <v>117</v>
      </c>
      <c r="C17" s="61" t="s">
        <v>202</v>
      </c>
      <c r="D17" s="61">
        <v>80</v>
      </c>
      <c r="E17" s="61">
        <v>2</v>
      </c>
      <c r="F17" s="62" t="s">
        <v>582</v>
      </c>
      <c r="G17" s="61" t="s">
        <v>583</v>
      </c>
      <c r="H17" s="61" t="s">
        <v>566</v>
      </c>
      <c r="I17" s="62"/>
      <c r="J17" s="62" t="s">
        <v>584</v>
      </c>
    </row>
    <row r="18" spans="1:10" ht="42">
      <c r="A18" s="61">
        <v>5</v>
      </c>
      <c r="B18" s="61" t="s">
        <v>117</v>
      </c>
      <c r="C18" s="61" t="s">
        <v>202</v>
      </c>
      <c r="D18" s="61">
        <v>80</v>
      </c>
      <c r="E18" s="61">
        <v>2</v>
      </c>
      <c r="F18" s="62" t="s">
        <v>585</v>
      </c>
      <c r="G18" s="61" t="s">
        <v>583</v>
      </c>
      <c r="H18" s="61" t="s">
        <v>566</v>
      </c>
      <c r="I18" s="62"/>
      <c r="J18" s="62" t="s">
        <v>586</v>
      </c>
    </row>
    <row r="19" spans="1:10" ht="28">
      <c r="A19" s="61">
        <v>5</v>
      </c>
      <c r="B19" s="61" t="s">
        <v>117</v>
      </c>
      <c r="C19" s="61" t="s">
        <v>202</v>
      </c>
      <c r="D19" s="61">
        <v>80</v>
      </c>
      <c r="E19" s="61">
        <v>2</v>
      </c>
      <c r="F19" s="62" t="s">
        <v>587</v>
      </c>
      <c r="G19" s="61" t="s">
        <v>583</v>
      </c>
      <c r="H19" s="61" t="s">
        <v>572</v>
      </c>
      <c r="I19" s="62"/>
      <c r="J19" s="62" t="s">
        <v>588</v>
      </c>
    </row>
    <row r="20" spans="1:10" ht="42">
      <c r="A20" s="61">
        <v>5</v>
      </c>
      <c r="B20" s="61" t="s">
        <v>117</v>
      </c>
      <c r="C20" s="61" t="s">
        <v>203</v>
      </c>
      <c r="D20" s="61">
        <v>85</v>
      </c>
      <c r="E20" s="61">
        <v>5</v>
      </c>
      <c r="F20" s="62" t="s">
        <v>589</v>
      </c>
      <c r="G20" s="61" t="s">
        <v>583</v>
      </c>
      <c r="H20" s="61" t="s">
        <v>566</v>
      </c>
      <c r="I20" s="62"/>
      <c r="J20" s="62" t="s">
        <v>590</v>
      </c>
    </row>
    <row r="21" spans="1:10" ht="42">
      <c r="A21" s="61">
        <v>5</v>
      </c>
      <c r="B21" s="61" t="s">
        <v>117</v>
      </c>
      <c r="C21" s="61" t="s">
        <v>203</v>
      </c>
      <c r="D21" s="61">
        <v>85</v>
      </c>
      <c r="E21" s="61">
        <v>5</v>
      </c>
      <c r="F21" s="62" t="s">
        <v>591</v>
      </c>
      <c r="G21" s="61" t="s">
        <v>583</v>
      </c>
      <c r="H21" s="61" t="s">
        <v>564</v>
      </c>
      <c r="I21" s="62" t="s">
        <v>17</v>
      </c>
      <c r="J21" s="62" t="s">
        <v>592</v>
      </c>
    </row>
    <row r="22" spans="1:10" ht="42">
      <c r="A22" s="61">
        <v>5</v>
      </c>
      <c r="B22" s="61" t="s">
        <v>117</v>
      </c>
      <c r="C22" s="61" t="s">
        <v>204</v>
      </c>
      <c r="D22" s="61">
        <v>90</v>
      </c>
      <c r="E22" s="61">
        <v>5</v>
      </c>
      <c r="F22" s="62" t="s">
        <v>593</v>
      </c>
      <c r="G22" s="61" t="s">
        <v>583</v>
      </c>
      <c r="H22" s="61" t="s">
        <v>566</v>
      </c>
      <c r="I22" s="62"/>
      <c r="J22" s="62" t="s">
        <v>594</v>
      </c>
    </row>
    <row r="23" spans="1:10" ht="42">
      <c r="A23" s="61">
        <v>5</v>
      </c>
      <c r="B23" s="61" t="s">
        <v>120</v>
      </c>
      <c r="C23" s="61" t="s">
        <v>202</v>
      </c>
      <c r="D23" s="61">
        <v>90</v>
      </c>
      <c r="E23" s="61">
        <v>3</v>
      </c>
      <c r="F23" s="62" t="s">
        <v>595</v>
      </c>
      <c r="G23" s="61" t="s">
        <v>583</v>
      </c>
      <c r="H23" s="61" t="s">
        <v>564</v>
      </c>
      <c r="I23" s="62" t="s">
        <v>596</v>
      </c>
      <c r="J23" s="62" t="s">
        <v>597</v>
      </c>
    </row>
    <row r="24" spans="1:10" ht="28">
      <c r="A24" s="61">
        <v>5</v>
      </c>
      <c r="B24" s="61" t="s">
        <v>120</v>
      </c>
      <c r="C24" s="61" t="s">
        <v>202</v>
      </c>
      <c r="D24" s="61">
        <v>90</v>
      </c>
      <c r="E24" s="61">
        <v>3</v>
      </c>
      <c r="F24" s="62" t="s">
        <v>598</v>
      </c>
      <c r="G24" s="61" t="s">
        <v>583</v>
      </c>
      <c r="H24" s="61" t="s">
        <v>564</v>
      </c>
      <c r="I24" s="62" t="s">
        <v>599</v>
      </c>
      <c r="J24" s="62" t="s">
        <v>600</v>
      </c>
    </row>
    <row r="25" spans="1:10" ht="28">
      <c r="A25" s="61">
        <v>5</v>
      </c>
      <c r="B25" s="61" t="s">
        <v>120</v>
      </c>
      <c r="C25" s="61" t="s">
        <v>203</v>
      </c>
      <c r="D25" s="61">
        <v>95</v>
      </c>
      <c r="E25" s="61">
        <v>5</v>
      </c>
      <c r="F25" s="62" t="s">
        <v>601</v>
      </c>
      <c r="G25" s="61" t="s">
        <v>583</v>
      </c>
      <c r="H25" s="61" t="s">
        <v>564</v>
      </c>
      <c r="I25" s="62" t="s">
        <v>602</v>
      </c>
      <c r="J25" s="62" t="s">
        <v>603</v>
      </c>
    </row>
    <row r="26" spans="1:10" ht="56">
      <c r="A26" s="61">
        <v>5</v>
      </c>
      <c r="B26" s="61" t="s">
        <v>123</v>
      </c>
      <c r="C26" s="61" t="s">
        <v>202</v>
      </c>
      <c r="D26" s="61">
        <v>90</v>
      </c>
      <c r="E26" s="61">
        <v>3</v>
      </c>
      <c r="F26" s="62" t="s">
        <v>604</v>
      </c>
      <c r="G26" s="61" t="s">
        <v>583</v>
      </c>
      <c r="H26" s="61" t="s">
        <v>566</v>
      </c>
      <c r="I26" s="62"/>
      <c r="J26" s="62" t="s">
        <v>605</v>
      </c>
    </row>
    <row r="27" spans="1:10" ht="28">
      <c r="A27" s="61">
        <v>5</v>
      </c>
      <c r="B27" s="61" t="s">
        <v>123</v>
      </c>
      <c r="C27" s="61" t="s">
        <v>203</v>
      </c>
      <c r="D27" s="61">
        <v>75</v>
      </c>
      <c r="E27" s="61">
        <v>5</v>
      </c>
      <c r="F27" s="62" t="s">
        <v>606</v>
      </c>
      <c r="G27" s="61" t="s">
        <v>583</v>
      </c>
      <c r="H27" s="61" t="s">
        <v>564</v>
      </c>
      <c r="I27" s="62" t="s">
        <v>11</v>
      </c>
      <c r="J27" s="62" t="s">
        <v>607</v>
      </c>
    </row>
    <row r="28" spans="1:10" ht="42">
      <c r="A28" s="61">
        <v>5</v>
      </c>
      <c r="B28" s="61" t="s">
        <v>123</v>
      </c>
      <c r="C28" s="61" t="s">
        <v>203</v>
      </c>
      <c r="D28" s="61">
        <v>75</v>
      </c>
      <c r="E28" s="61">
        <v>5</v>
      </c>
      <c r="F28" s="62" t="s">
        <v>608</v>
      </c>
      <c r="G28" s="61" t="s">
        <v>583</v>
      </c>
      <c r="H28" s="61" t="s">
        <v>566</v>
      </c>
      <c r="I28" s="62"/>
      <c r="J28" s="62" t="s">
        <v>609</v>
      </c>
    </row>
    <row r="29" spans="1:10" ht="28">
      <c r="A29" s="61">
        <v>5</v>
      </c>
      <c r="B29" s="61" t="s">
        <v>123</v>
      </c>
      <c r="C29" s="61" t="s">
        <v>203</v>
      </c>
      <c r="D29" s="61">
        <v>75</v>
      </c>
      <c r="E29" s="61">
        <v>5</v>
      </c>
      <c r="F29" s="62" t="s">
        <v>610</v>
      </c>
      <c r="G29" s="61" t="s">
        <v>583</v>
      </c>
      <c r="H29" s="61" t="s">
        <v>564</v>
      </c>
      <c r="I29" s="62" t="s">
        <v>611</v>
      </c>
      <c r="J29" s="62" t="s">
        <v>612</v>
      </c>
    </row>
    <row r="30" spans="1:10" ht="28">
      <c r="A30" s="61">
        <v>5</v>
      </c>
      <c r="B30" s="61" t="s">
        <v>123</v>
      </c>
      <c r="C30" s="61" t="s">
        <v>203</v>
      </c>
      <c r="D30" s="61">
        <v>75</v>
      </c>
      <c r="E30" s="61">
        <v>5</v>
      </c>
      <c r="F30" s="62" t="s">
        <v>613</v>
      </c>
      <c r="G30" s="61" t="s">
        <v>583</v>
      </c>
      <c r="H30" s="61" t="s">
        <v>564</v>
      </c>
      <c r="I30" s="62" t="s">
        <v>602</v>
      </c>
      <c r="J30" s="62" t="s">
        <v>614</v>
      </c>
    </row>
    <row r="31" spans="1:10" ht="28">
      <c r="A31" s="61">
        <v>5</v>
      </c>
      <c r="B31" s="61" t="s">
        <v>123</v>
      </c>
      <c r="C31" s="61" t="s">
        <v>203</v>
      </c>
      <c r="D31" s="61">
        <v>75</v>
      </c>
      <c r="E31" s="61">
        <v>5</v>
      </c>
      <c r="F31" s="62" t="s">
        <v>615</v>
      </c>
      <c r="G31" s="61" t="s">
        <v>583</v>
      </c>
      <c r="H31" s="61" t="s">
        <v>566</v>
      </c>
      <c r="I31" s="62"/>
      <c r="J31" s="62" t="s">
        <v>616</v>
      </c>
    </row>
    <row r="32" spans="1:10" ht="28">
      <c r="A32" s="61">
        <v>5</v>
      </c>
      <c r="B32" s="61" t="s">
        <v>123</v>
      </c>
      <c r="C32" s="61" t="s">
        <v>203</v>
      </c>
      <c r="D32" s="61">
        <v>75</v>
      </c>
      <c r="E32" s="61">
        <v>5</v>
      </c>
      <c r="F32" s="62" t="s">
        <v>617</v>
      </c>
      <c r="G32" s="61" t="s">
        <v>583</v>
      </c>
      <c r="H32" s="61" t="s">
        <v>564</v>
      </c>
      <c r="I32" s="62" t="s">
        <v>618</v>
      </c>
      <c r="J32" s="62" t="s">
        <v>592</v>
      </c>
    </row>
    <row r="33" spans="1:10" ht="56">
      <c r="A33" s="61">
        <v>5</v>
      </c>
      <c r="B33" s="61" t="s">
        <v>123</v>
      </c>
      <c r="C33" s="61" t="s">
        <v>203</v>
      </c>
      <c r="D33" s="61">
        <v>75</v>
      </c>
      <c r="E33" s="61">
        <v>5</v>
      </c>
      <c r="F33" s="62" t="s">
        <v>619</v>
      </c>
      <c r="G33" s="61" t="s">
        <v>583</v>
      </c>
      <c r="H33" s="61" t="s">
        <v>572</v>
      </c>
      <c r="I33" s="62"/>
      <c r="J33" s="62" t="s">
        <v>620</v>
      </c>
    </row>
    <row r="34" spans="1:10" ht="42">
      <c r="A34" s="61">
        <v>5</v>
      </c>
      <c r="B34" s="61" t="s">
        <v>123</v>
      </c>
      <c r="C34" s="61" t="s">
        <v>204</v>
      </c>
      <c r="D34" s="61">
        <v>75</v>
      </c>
      <c r="E34" s="61">
        <v>5</v>
      </c>
      <c r="F34" s="62" t="s">
        <v>621</v>
      </c>
      <c r="G34" s="61" t="s">
        <v>583</v>
      </c>
      <c r="H34" s="61" t="s">
        <v>566</v>
      </c>
      <c r="I34" s="62"/>
      <c r="J34" s="62" t="s">
        <v>622</v>
      </c>
    </row>
    <row r="35" spans="1:10" ht="42">
      <c r="A35" s="61">
        <v>5</v>
      </c>
      <c r="B35" s="61" t="s">
        <v>123</v>
      </c>
      <c r="C35" s="61" t="s">
        <v>204</v>
      </c>
      <c r="D35" s="61">
        <v>75</v>
      </c>
      <c r="E35" s="61">
        <v>5</v>
      </c>
      <c r="F35" s="62" t="s">
        <v>623</v>
      </c>
      <c r="G35" s="61" t="s">
        <v>583</v>
      </c>
      <c r="H35" s="61" t="s">
        <v>566</v>
      </c>
      <c r="I35" s="62"/>
      <c r="J35" s="62" t="s">
        <v>624</v>
      </c>
    </row>
    <row r="36" spans="1:10" ht="42">
      <c r="A36" s="61">
        <v>5</v>
      </c>
      <c r="B36" s="61" t="s">
        <v>123</v>
      </c>
      <c r="C36" s="61" t="s">
        <v>204</v>
      </c>
      <c r="D36" s="61">
        <v>75</v>
      </c>
      <c r="E36" s="61">
        <v>5</v>
      </c>
      <c r="F36" s="62" t="s">
        <v>625</v>
      </c>
      <c r="G36" s="61" t="s">
        <v>583</v>
      </c>
      <c r="H36" s="61" t="s">
        <v>566</v>
      </c>
      <c r="I36" s="62"/>
      <c r="J36" s="62" t="s">
        <v>626</v>
      </c>
    </row>
    <row r="37" spans="1:10" ht="28">
      <c r="A37" s="61">
        <v>5</v>
      </c>
      <c r="B37" s="61" t="s">
        <v>123</v>
      </c>
      <c r="C37" s="61" t="s">
        <v>204</v>
      </c>
      <c r="D37" s="61">
        <v>75</v>
      </c>
      <c r="E37" s="61">
        <v>5</v>
      </c>
      <c r="F37" s="62" t="s">
        <v>610</v>
      </c>
      <c r="G37" s="61" t="s">
        <v>583</v>
      </c>
      <c r="H37" s="61" t="s">
        <v>564</v>
      </c>
      <c r="I37" s="62" t="s">
        <v>599</v>
      </c>
      <c r="J37" s="62" t="s">
        <v>627</v>
      </c>
    </row>
    <row r="38" spans="1:10" ht="28">
      <c r="A38" s="61">
        <v>5</v>
      </c>
      <c r="B38" s="61" t="s">
        <v>123</v>
      </c>
      <c r="C38" s="61" t="s">
        <v>204</v>
      </c>
      <c r="D38" s="61">
        <v>75</v>
      </c>
      <c r="E38" s="61">
        <v>5</v>
      </c>
      <c r="F38" s="62" t="s">
        <v>628</v>
      </c>
      <c r="G38" s="61" t="s">
        <v>583</v>
      </c>
      <c r="H38" s="61" t="s">
        <v>564</v>
      </c>
      <c r="I38" s="62" t="s">
        <v>17</v>
      </c>
      <c r="J38" s="62" t="s">
        <v>629</v>
      </c>
    </row>
    <row r="39" spans="1:10" ht="28">
      <c r="A39" s="61">
        <v>5</v>
      </c>
      <c r="B39" s="61" t="s">
        <v>123</v>
      </c>
      <c r="C39" s="61" t="s">
        <v>204</v>
      </c>
      <c r="D39" s="61">
        <v>75</v>
      </c>
      <c r="E39" s="61">
        <v>5</v>
      </c>
      <c r="F39" s="62" t="s">
        <v>630</v>
      </c>
      <c r="G39" s="61" t="s">
        <v>583</v>
      </c>
      <c r="H39" s="61" t="s">
        <v>566</v>
      </c>
      <c r="I39" s="62"/>
      <c r="J39" s="62" t="s">
        <v>631</v>
      </c>
    </row>
    <row r="40" spans="1:10" ht="56">
      <c r="A40" s="61">
        <v>5</v>
      </c>
      <c r="B40" s="61" t="s">
        <v>126</v>
      </c>
      <c r="C40" s="61" t="s">
        <v>202</v>
      </c>
      <c r="D40" s="61">
        <v>72</v>
      </c>
      <c r="E40" s="61">
        <v>4</v>
      </c>
      <c r="F40" s="62" t="s">
        <v>632</v>
      </c>
      <c r="G40" s="61" t="s">
        <v>583</v>
      </c>
      <c r="H40" s="61" t="s">
        <v>564</v>
      </c>
      <c r="I40" s="62" t="s">
        <v>633</v>
      </c>
      <c r="J40" s="62" t="s">
        <v>634</v>
      </c>
    </row>
    <row r="41" spans="1:10" ht="42">
      <c r="A41" s="61">
        <v>5</v>
      </c>
      <c r="B41" s="61" t="s">
        <v>126</v>
      </c>
      <c r="C41" s="61" t="s">
        <v>202</v>
      </c>
      <c r="D41" s="61">
        <v>72</v>
      </c>
      <c r="E41" s="61">
        <v>4</v>
      </c>
      <c r="F41" s="62" t="s">
        <v>635</v>
      </c>
      <c r="G41" s="61" t="s">
        <v>583</v>
      </c>
      <c r="H41" s="61" t="s">
        <v>566</v>
      </c>
      <c r="I41" s="62"/>
      <c r="J41" s="62" t="s">
        <v>636</v>
      </c>
    </row>
    <row r="42" spans="1:10" ht="42">
      <c r="A42" s="61">
        <v>5</v>
      </c>
      <c r="B42" s="61" t="s">
        <v>126</v>
      </c>
      <c r="C42" s="61" t="s">
        <v>202</v>
      </c>
      <c r="D42" s="61">
        <v>72</v>
      </c>
      <c r="E42" s="61">
        <v>4</v>
      </c>
      <c r="F42" s="62" t="s">
        <v>637</v>
      </c>
      <c r="G42" s="61" t="s">
        <v>583</v>
      </c>
      <c r="H42" s="61" t="s">
        <v>566</v>
      </c>
      <c r="I42" s="62"/>
      <c r="J42" s="62" t="s">
        <v>638</v>
      </c>
    </row>
    <row r="43" spans="1:10" ht="42">
      <c r="A43" s="61">
        <v>5</v>
      </c>
      <c r="B43" s="61" t="s">
        <v>126</v>
      </c>
      <c r="C43" s="61" t="s">
        <v>202</v>
      </c>
      <c r="D43" s="61">
        <v>72</v>
      </c>
      <c r="E43" s="61">
        <v>4</v>
      </c>
      <c r="F43" s="62" t="s">
        <v>639</v>
      </c>
      <c r="G43" s="61" t="s">
        <v>583</v>
      </c>
      <c r="H43" s="61" t="s">
        <v>566</v>
      </c>
      <c r="I43" s="62"/>
      <c r="J43" s="62" t="s">
        <v>640</v>
      </c>
    </row>
    <row r="44" spans="1:10" ht="42">
      <c r="A44" s="61">
        <v>5</v>
      </c>
      <c r="B44" s="61" t="s">
        <v>126</v>
      </c>
      <c r="C44" s="61" t="s">
        <v>202</v>
      </c>
      <c r="D44" s="61">
        <v>72</v>
      </c>
      <c r="E44" s="61">
        <v>4</v>
      </c>
      <c r="F44" s="62" t="s">
        <v>641</v>
      </c>
      <c r="G44" s="61" t="s">
        <v>583</v>
      </c>
      <c r="H44" s="61" t="s">
        <v>564</v>
      </c>
      <c r="I44" s="62" t="s">
        <v>642</v>
      </c>
      <c r="J44" s="62" t="s">
        <v>643</v>
      </c>
    </row>
    <row r="45" spans="1:10" ht="28">
      <c r="A45" s="61">
        <v>5</v>
      </c>
      <c r="B45" s="61" t="s">
        <v>126</v>
      </c>
      <c r="C45" s="61" t="s">
        <v>202</v>
      </c>
      <c r="D45" s="61">
        <v>72</v>
      </c>
      <c r="E45" s="61">
        <v>4</v>
      </c>
      <c r="F45" s="62" t="s">
        <v>644</v>
      </c>
      <c r="G45" s="61" t="s">
        <v>583</v>
      </c>
      <c r="H45" s="61" t="s">
        <v>564</v>
      </c>
      <c r="I45" s="62" t="s">
        <v>645</v>
      </c>
      <c r="J45" s="62" t="s">
        <v>646</v>
      </c>
    </row>
    <row r="46" spans="1:10" ht="42">
      <c r="A46" s="61">
        <v>5</v>
      </c>
      <c r="B46" s="61" t="s">
        <v>126</v>
      </c>
      <c r="C46" s="61" t="s">
        <v>203</v>
      </c>
      <c r="D46" s="61">
        <v>80</v>
      </c>
      <c r="E46" s="61">
        <v>5</v>
      </c>
      <c r="F46" s="62" t="s">
        <v>647</v>
      </c>
      <c r="G46" s="61" t="s">
        <v>583</v>
      </c>
      <c r="H46" s="61" t="s">
        <v>566</v>
      </c>
      <c r="I46" s="62"/>
      <c r="J46" s="62" t="s">
        <v>648</v>
      </c>
    </row>
    <row r="47" spans="1:10" ht="28">
      <c r="A47" s="61">
        <v>5</v>
      </c>
      <c r="B47" s="61" t="s">
        <v>126</v>
      </c>
      <c r="C47" s="61" t="s">
        <v>203</v>
      </c>
      <c r="D47" s="61">
        <v>80</v>
      </c>
      <c r="E47" s="61">
        <v>5</v>
      </c>
      <c r="F47" s="62" t="s">
        <v>649</v>
      </c>
      <c r="G47" s="61" t="s">
        <v>583</v>
      </c>
      <c r="H47" s="61" t="s">
        <v>566</v>
      </c>
      <c r="I47" s="62"/>
      <c r="J47" s="62" t="s">
        <v>650</v>
      </c>
    </row>
    <row r="48" spans="1:10" ht="56">
      <c r="A48" s="61">
        <v>5</v>
      </c>
      <c r="B48" s="61" t="s">
        <v>126</v>
      </c>
      <c r="C48" s="61" t="s">
        <v>203</v>
      </c>
      <c r="D48" s="61">
        <v>80</v>
      </c>
      <c r="E48" s="61">
        <v>5</v>
      </c>
      <c r="F48" s="62" t="s">
        <v>651</v>
      </c>
      <c r="G48" s="61" t="s">
        <v>583</v>
      </c>
      <c r="H48" s="61" t="s">
        <v>564</v>
      </c>
      <c r="I48" s="62" t="s">
        <v>652</v>
      </c>
      <c r="J48" s="62" t="s">
        <v>653</v>
      </c>
    </row>
    <row r="49" spans="1:10" ht="28">
      <c r="A49" s="61">
        <v>5</v>
      </c>
      <c r="B49" s="61" t="s">
        <v>126</v>
      </c>
      <c r="C49" s="61" t="s">
        <v>203</v>
      </c>
      <c r="D49" s="61">
        <v>80</v>
      </c>
      <c r="E49" s="61">
        <v>5</v>
      </c>
      <c r="F49" s="62" t="s">
        <v>654</v>
      </c>
      <c r="G49" s="61" t="s">
        <v>583</v>
      </c>
      <c r="H49" s="61" t="s">
        <v>564</v>
      </c>
      <c r="I49" s="62" t="s">
        <v>655</v>
      </c>
      <c r="J49" s="62" t="s">
        <v>656</v>
      </c>
    </row>
    <row r="50" spans="1:10" ht="56">
      <c r="A50" s="61">
        <v>5</v>
      </c>
      <c r="B50" s="61" t="s">
        <v>126</v>
      </c>
      <c r="C50" s="61" t="s">
        <v>204</v>
      </c>
      <c r="D50" s="61">
        <v>60</v>
      </c>
      <c r="E50" s="61">
        <v>5</v>
      </c>
      <c r="F50" s="62" t="s">
        <v>657</v>
      </c>
      <c r="G50" s="61" t="s">
        <v>583</v>
      </c>
      <c r="H50" s="61" t="s">
        <v>566</v>
      </c>
      <c r="I50" s="62"/>
      <c r="J50" s="62" t="s">
        <v>658</v>
      </c>
    </row>
    <row r="51" spans="1:10" ht="42">
      <c r="A51" s="61">
        <v>5</v>
      </c>
      <c r="B51" s="61" t="s">
        <v>126</v>
      </c>
      <c r="C51" s="61" t="s">
        <v>204</v>
      </c>
      <c r="D51" s="61">
        <v>60</v>
      </c>
      <c r="E51" s="61">
        <v>5</v>
      </c>
      <c r="F51" s="62" t="s">
        <v>659</v>
      </c>
      <c r="G51" s="61" t="s">
        <v>583</v>
      </c>
      <c r="H51" s="61" t="s">
        <v>566</v>
      </c>
      <c r="I51" s="62"/>
      <c r="J51" s="62" t="s">
        <v>660</v>
      </c>
    </row>
    <row r="52" spans="1:10" ht="42">
      <c r="A52" s="61">
        <v>5</v>
      </c>
      <c r="B52" s="61" t="s">
        <v>126</v>
      </c>
      <c r="C52" s="61" t="s">
        <v>204</v>
      </c>
      <c r="D52" s="61">
        <v>60</v>
      </c>
      <c r="E52" s="61">
        <v>5</v>
      </c>
      <c r="F52" s="62" t="s">
        <v>661</v>
      </c>
      <c r="G52" s="61" t="s">
        <v>583</v>
      </c>
      <c r="H52" s="61" t="s">
        <v>566</v>
      </c>
      <c r="I52" s="62"/>
      <c r="J52" s="62" t="s">
        <v>662</v>
      </c>
    </row>
    <row r="53" spans="1:10" ht="42">
      <c r="A53" s="61">
        <v>5</v>
      </c>
      <c r="B53" s="61" t="s">
        <v>126</v>
      </c>
      <c r="C53" s="61" t="s">
        <v>204</v>
      </c>
      <c r="D53" s="61">
        <v>60</v>
      </c>
      <c r="E53" s="61">
        <v>5</v>
      </c>
      <c r="F53" s="62" t="s">
        <v>663</v>
      </c>
      <c r="G53" s="61" t="s">
        <v>583</v>
      </c>
      <c r="H53" s="61" t="s">
        <v>564</v>
      </c>
      <c r="I53" s="62" t="s">
        <v>642</v>
      </c>
      <c r="J53" s="62" t="s">
        <v>664</v>
      </c>
    </row>
    <row r="54" spans="1:10" ht="28">
      <c r="A54" s="61">
        <v>5</v>
      </c>
      <c r="B54" s="61" t="s">
        <v>126</v>
      </c>
      <c r="C54" s="61" t="s">
        <v>204</v>
      </c>
      <c r="D54" s="61">
        <v>60</v>
      </c>
      <c r="E54" s="61">
        <v>5</v>
      </c>
      <c r="F54" s="62" t="s">
        <v>665</v>
      </c>
      <c r="G54" s="61" t="s">
        <v>583</v>
      </c>
      <c r="H54" s="61" t="s">
        <v>564</v>
      </c>
      <c r="I54" s="62" t="s">
        <v>655</v>
      </c>
      <c r="J54" s="62" t="s">
        <v>666</v>
      </c>
    </row>
    <row r="55" spans="1:10" ht="28">
      <c r="A55" s="61">
        <v>5</v>
      </c>
      <c r="B55" s="61" t="s">
        <v>129</v>
      </c>
      <c r="C55" s="61" t="s">
        <v>202</v>
      </c>
      <c r="D55" s="61">
        <v>75</v>
      </c>
      <c r="E55" s="61">
        <v>4</v>
      </c>
      <c r="F55" s="62" t="s">
        <v>667</v>
      </c>
      <c r="G55" s="61" t="s">
        <v>583</v>
      </c>
      <c r="H55" s="61" t="s">
        <v>566</v>
      </c>
      <c r="I55" s="62"/>
      <c r="J55" s="62" t="s">
        <v>668</v>
      </c>
    </row>
    <row r="56" spans="1:10" ht="56">
      <c r="A56" s="61">
        <v>5</v>
      </c>
      <c r="B56" s="61" t="s">
        <v>129</v>
      </c>
      <c r="C56" s="61" t="s">
        <v>202</v>
      </c>
      <c r="D56" s="61">
        <v>75</v>
      </c>
      <c r="E56" s="61">
        <v>4</v>
      </c>
      <c r="F56" s="62" t="s">
        <v>669</v>
      </c>
      <c r="G56" s="61" t="s">
        <v>583</v>
      </c>
      <c r="H56" s="61" t="s">
        <v>568</v>
      </c>
      <c r="I56" s="62"/>
      <c r="J56" s="62" t="s">
        <v>670</v>
      </c>
    </row>
    <row r="57" spans="1:10" ht="42">
      <c r="A57" s="61">
        <v>5</v>
      </c>
      <c r="B57" s="61" t="s">
        <v>129</v>
      </c>
      <c r="C57" s="61" t="s">
        <v>202</v>
      </c>
      <c r="D57" s="61">
        <v>75</v>
      </c>
      <c r="E57" s="61">
        <v>4</v>
      </c>
      <c r="F57" s="62" t="s">
        <v>671</v>
      </c>
      <c r="G57" s="61" t="s">
        <v>583</v>
      </c>
      <c r="H57" s="61" t="s">
        <v>566</v>
      </c>
      <c r="I57" s="62"/>
      <c r="J57" s="62" t="s">
        <v>672</v>
      </c>
    </row>
    <row r="58" spans="1:10" ht="42">
      <c r="A58" s="61">
        <v>5</v>
      </c>
      <c r="B58" s="61" t="s">
        <v>129</v>
      </c>
      <c r="C58" s="61" t="s">
        <v>202</v>
      </c>
      <c r="D58" s="61">
        <v>75</v>
      </c>
      <c r="E58" s="61">
        <v>4</v>
      </c>
      <c r="F58" s="62" t="s">
        <v>673</v>
      </c>
      <c r="G58" s="61" t="s">
        <v>583</v>
      </c>
      <c r="H58" s="61" t="s">
        <v>566</v>
      </c>
      <c r="I58" s="62"/>
      <c r="J58" s="62" t="s">
        <v>674</v>
      </c>
    </row>
    <row r="59" spans="1:10" ht="42">
      <c r="A59" s="61">
        <v>5</v>
      </c>
      <c r="B59" s="61" t="s">
        <v>129</v>
      </c>
      <c r="C59" s="61" t="s">
        <v>202</v>
      </c>
      <c r="D59" s="61">
        <v>75</v>
      </c>
      <c r="E59" s="61">
        <v>4</v>
      </c>
      <c r="F59" s="62" t="s">
        <v>675</v>
      </c>
      <c r="G59" s="61" t="s">
        <v>583</v>
      </c>
      <c r="H59" s="61" t="s">
        <v>570</v>
      </c>
      <c r="I59" s="62"/>
      <c r="J59" s="62" t="s">
        <v>676</v>
      </c>
    </row>
    <row r="60" spans="1:10" ht="42">
      <c r="A60" s="61">
        <v>5</v>
      </c>
      <c r="B60" s="61" t="s">
        <v>129</v>
      </c>
      <c r="C60" s="61" t="s">
        <v>203</v>
      </c>
      <c r="D60" s="61">
        <v>85</v>
      </c>
      <c r="E60" s="61">
        <v>5</v>
      </c>
      <c r="F60" s="62" t="s">
        <v>677</v>
      </c>
      <c r="G60" s="61" t="s">
        <v>583</v>
      </c>
      <c r="H60" s="61" t="s">
        <v>568</v>
      </c>
      <c r="I60" s="62"/>
      <c r="J60" s="62" t="s">
        <v>678</v>
      </c>
    </row>
    <row r="61" spans="1:10" ht="28">
      <c r="A61" s="61">
        <v>5</v>
      </c>
      <c r="B61" s="61" t="s">
        <v>129</v>
      </c>
      <c r="C61" s="61" t="s">
        <v>203</v>
      </c>
      <c r="D61" s="61">
        <v>85</v>
      </c>
      <c r="E61" s="61">
        <v>5</v>
      </c>
      <c r="F61" s="62" t="s">
        <v>679</v>
      </c>
      <c r="G61" s="61" t="s">
        <v>583</v>
      </c>
      <c r="H61" s="61" t="s">
        <v>564</v>
      </c>
      <c r="I61" s="62" t="s">
        <v>680</v>
      </c>
      <c r="J61" s="62" t="s">
        <v>681</v>
      </c>
    </row>
    <row r="62" spans="1:10" ht="42">
      <c r="A62" s="61">
        <v>5</v>
      </c>
      <c r="B62" s="61" t="s">
        <v>129</v>
      </c>
      <c r="C62" s="61" t="s">
        <v>203</v>
      </c>
      <c r="D62" s="61">
        <v>85</v>
      </c>
      <c r="E62" s="61">
        <v>5</v>
      </c>
      <c r="F62" s="62" t="s">
        <v>682</v>
      </c>
      <c r="G62" s="61" t="s">
        <v>583</v>
      </c>
      <c r="H62" s="61" t="s">
        <v>566</v>
      </c>
      <c r="I62" s="62"/>
      <c r="J62" s="62" t="s">
        <v>683</v>
      </c>
    </row>
    <row r="63" spans="1:10" ht="42">
      <c r="A63" s="61">
        <v>5</v>
      </c>
      <c r="B63" s="61" t="s">
        <v>129</v>
      </c>
      <c r="C63" s="61" t="s">
        <v>204</v>
      </c>
      <c r="D63" s="61">
        <v>80</v>
      </c>
      <c r="E63" s="61">
        <v>5</v>
      </c>
      <c r="F63" s="62" t="s">
        <v>684</v>
      </c>
      <c r="G63" s="61" t="s">
        <v>583</v>
      </c>
      <c r="H63" s="61" t="s">
        <v>566</v>
      </c>
      <c r="I63" s="62"/>
      <c r="J63" s="62" t="s">
        <v>685</v>
      </c>
    </row>
    <row r="64" spans="1:10" ht="42">
      <c r="A64" s="61">
        <v>5</v>
      </c>
      <c r="B64" s="61" t="s">
        <v>129</v>
      </c>
      <c r="C64" s="61" t="s">
        <v>204</v>
      </c>
      <c r="D64" s="61">
        <v>80</v>
      </c>
      <c r="E64" s="61">
        <v>5</v>
      </c>
      <c r="F64" s="62" t="s">
        <v>686</v>
      </c>
      <c r="G64" s="61" t="s">
        <v>583</v>
      </c>
      <c r="H64" s="61" t="s">
        <v>566</v>
      </c>
      <c r="I64" s="62"/>
      <c r="J64" s="62" t="s">
        <v>687</v>
      </c>
    </row>
    <row r="65" spans="1:10" ht="42">
      <c r="A65" s="61">
        <v>5</v>
      </c>
      <c r="B65" s="61" t="s">
        <v>129</v>
      </c>
      <c r="C65" s="61" t="s">
        <v>204</v>
      </c>
      <c r="D65" s="61">
        <v>80</v>
      </c>
      <c r="E65" s="61">
        <v>5</v>
      </c>
      <c r="F65" s="62" t="s">
        <v>688</v>
      </c>
      <c r="G65" s="61" t="s">
        <v>689</v>
      </c>
      <c r="H65" s="61" t="s">
        <v>570</v>
      </c>
      <c r="I65" s="62"/>
      <c r="J65" s="62" t="s">
        <v>690</v>
      </c>
    </row>
    <row r="66" spans="1:10" ht="28">
      <c r="A66" s="61">
        <v>5</v>
      </c>
      <c r="B66" s="61" t="s">
        <v>129</v>
      </c>
      <c r="C66" s="61" t="s">
        <v>204</v>
      </c>
      <c r="D66" s="61">
        <v>80</v>
      </c>
      <c r="E66" s="61">
        <v>5</v>
      </c>
      <c r="F66" s="62" t="s">
        <v>691</v>
      </c>
      <c r="G66" s="61" t="s">
        <v>583</v>
      </c>
      <c r="H66" s="61" t="s">
        <v>564</v>
      </c>
      <c r="I66" s="62" t="s">
        <v>692</v>
      </c>
      <c r="J66" s="62" t="s">
        <v>693</v>
      </c>
    </row>
    <row r="67" spans="1:10" ht="28">
      <c r="A67" s="61">
        <v>5</v>
      </c>
      <c r="B67" s="61" t="s">
        <v>132</v>
      </c>
      <c r="C67" s="61" t="s">
        <v>202</v>
      </c>
      <c r="D67" s="61">
        <v>85</v>
      </c>
      <c r="E67" s="61">
        <v>5</v>
      </c>
      <c r="F67" s="62" t="s">
        <v>694</v>
      </c>
      <c r="G67" s="61" t="s">
        <v>583</v>
      </c>
      <c r="H67" s="61" t="s">
        <v>566</v>
      </c>
      <c r="I67" s="62"/>
      <c r="J67" s="62" t="s">
        <v>695</v>
      </c>
    </row>
    <row r="68" spans="1:10" ht="28">
      <c r="A68" s="61">
        <v>5</v>
      </c>
      <c r="B68" s="61" t="s">
        <v>132</v>
      </c>
      <c r="C68" s="61" t="s">
        <v>202</v>
      </c>
      <c r="D68" s="61">
        <v>85</v>
      </c>
      <c r="E68" s="61">
        <v>5</v>
      </c>
      <c r="F68" s="62" t="s">
        <v>696</v>
      </c>
      <c r="G68" s="61" t="s">
        <v>583</v>
      </c>
      <c r="H68" s="61" t="s">
        <v>564</v>
      </c>
      <c r="I68" s="62" t="s">
        <v>697</v>
      </c>
      <c r="J68" s="62" t="s">
        <v>698</v>
      </c>
    </row>
    <row r="69" spans="1:10" ht="28">
      <c r="A69" s="61">
        <v>5</v>
      </c>
      <c r="B69" s="61" t="s">
        <v>132</v>
      </c>
      <c r="C69" s="61" t="s">
        <v>202</v>
      </c>
      <c r="D69" s="61">
        <v>85</v>
      </c>
      <c r="E69" s="61">
        <v>5</v>
      </c>
      <c r="F69" s="62" t="s">
        <v>699</v>
      </c>
      <c r="G69" s="61" t="s">
        <v>583</v>
      </c>
      <c r="H69" s="61" t="s">
        <v>566</v>
      </c>
      <c r="I69" s="62"/>
      <c r="J69" s="62" t="s">
        <v>700</v>
      </c>
    </row>
    <row r="70" spans="1:10" ht="28">
      <c r="A70" s="61">
        <v>5</v>
      </c>
      <c r="B70" s="61" t="s">
        <v>132</v>
      </c>
      <c r="C70" s="61" t="s">
        <v>202</v>
      </c>
      <c r="D70" s="61">
        <v>85</v>
      </c>
      <c r="E70" s="61">
        <v>5</v>
      </c>
      <c r="F70" s="62" t="s">
        <v>701</v>
      </c>
      <c r="G70" s="61" t="s">
        <v>583</v>
      </c>
      <c r="H70" s="61" t="s">
        <v>564</v>
      </c>
      <c r="I70" s="62" t="s">
        <v>702</v>
      </c>
      <c r="J70" s="62" t="s">
        <v>703</v>
      </c>
    </row>
    <row r="71" spans="1:10" ht="42">
      <c r="A71" s="61">
        <v>5</v>
      </c>
      <c r="B71" s="61" t="s">
        <v>132</v>
      </c>
      <c r="C71" s="61" t="s">
        <v>203</v>
      </c>
      <c r="D71" s="61">
        <v>90</v>
      </c>
      <c r="E71" s="61">
        <v>5</v>
      </c>
      <c r="F71" s="62" t="s">
        <v>704</v>
      </c>
      <c r="G71" s="61" t="s">
        <v>583</v>
      </c>
      <c r="H71" s="61" t="s">
        <v>564</v>
      </c>
      <c r="I71" s="62" t="s">
        <v>705</v>
      </c>
      <c r="J71" s="62" t="s">
        <v>706</v>
      </c>
    </row>
    <row r="72" spans="1:10" ht="56">
      <c r="A72" s="61">
        <v>5</v>
      </c>
      <c r="B72" s="61" t="s">
        <v>132</v>
      </c>
      <c r="C72" s="61" t="s">
        <v>203</v>
      </c>
      <c r="D72" s="61">
        <v>90</v>
      </c>
      <c r="E72" s="61">
        <v>5</v>
      </c>
      <c r="F72" s="62" t="s">
        <v>707</v>
      </c>
      <c r="G72" s="61" t="s">
        <v>583</v>
      </c>
      <c r="H72" s="61" t="s">
        <v>566</v>
      </c>
      <c r="I72" s="62"/>
      <c r="J72" s="62" t="s">
        <v>708</v>
      </c>
    </row>
    <row r="73" spans="1:10">
      <c r="A73" s="61">
        <v>5</v>
      </c>
      <c r="B73" s="61" t="s">
        <v>132</v>
      </c>
      <c r="C73" s="61" t="s">
        <v>204</v>
      </c>
      <c r="D73" s="61">
        <v>85</v>
      </c>
      <c r="E73" s="61">
        <v>5</v>
      </c>
      <c r="F73" s="62" t="s">
        <v>709</v>
      </c>
      <c r="G73" s="61" t="s">
        <v>583</v>
      </c>
      <c r="H73" s="61" t="s">
        <v>564</v>
      </c>
      <c r="I73" s="62" t="s">
        <v>710</v>
      </c>
      <c r="J73" s="62" t="s">
        <v>711</v>
      </c>
    </row>
    <row r="74" spans="1:10" ht="28">
      <c r="A74" s="61">
        <v>5</v>
      </c>
      <c r="B74" s="61" t="s">
        <v>132</v>
      </c>
      <c r="C74" s="61" t="s">
        <v>204</v>
      </c>
      <c r="D74" s="61">
        <v>85</v>
      </c>
      <c r="E74" s="61">
        <v>5</v>
      </c>
      <c r="F74" s="62" t="s">
        <v>712</v>
      </c>
      <c r="G74" s="61" t="s">
        <v>583</v>
      </c>
      <c r="H74" s="61" t="s">
        <v>566</v>
      </c>
      <c r="I74" s="62"/>
      <c r="J74" s="62" t="s">
        <v>713</v>
      </c>
    </row>
    <row r="75" spans="1:10" ht="28">
      <c r="A75" s="61">
        <v>5</v>
      </c>
      <c r="B75" s="61" t="s">
        <v>132</v>
      </c>
      <c r="C75" s="61" t="s">
        <v>204</v>
      </c>
      <c r="D75" s="61">
        <v>85</v>
      </c>
      <c r="E75" s="61">
        <v>5</v>
      </c>
      <c r="F75" s="62" t="s">
        <v>714</v>
      </c>
      <c r="G75" s="61" t="s">
        <v>583</v>
      </c>
      <c r="H75" s="61" t="s">
        <v>566</v>
      </c>
      <c r="I75" s="62"/>
      <c r="J75" s="62" t="s">
        <v>715</v>
      </c>
    </row>
    <row r="76" spans="1:10" ht="28">
      <c r="A76" s="61">
        <v>5</v>
      </c>
      <c r="B76" s="61" t="s">
        <v>132</v>
      </c>
      <c r="C76" s="61" t="s">
        <v>204</v>
      </c>
      <c r="D76" s="61">
        <v>85</v>
      </c>
      <c r="E76" s="61">
        <v>5</v>
      </c>
      <c r="F76" s="62" t="s">
        <v>716</v>
      </c>
      <c r="G76" s="61" t="s">
        <v>583</v>
      </c>
      <c r="H76" s="61" t="s">
        <v>564</v>
      </c>
      <c r="I76" s="62" t="s">
        <v>702</v>
      </c>
      <c r="J76" s="62" t="s">
        <v>717</v>
      </c>
    </row>
    <row r="77" spans="1:10" ht="56">
      <c r="A77" s="61">
        <v>5</v>
      </c>
      <c r="B77" s="61" t="s">
        <v>138</v>
      </c>
      <c r="C77" s="61" t="s">
        <v>202</v>
      </c>
      <c r="D77" s="61">
        <v>90</v>
      </c>
      <c r="E77" s="61">
        <v>5</v>
      </c>
      <c r="F77" s="62" t="s">
        <v>718</v>
      </c>
      <c r="G77" s="61" t="s">
        <v>583</v>
      </c>
      <c r="H77" s="61" t="s">
        <v>566</v>
      </c>
      <c r="I77" s="62"/>
      <c r="J77" s="62" t="s">
        <v>719</v>
      </c>
    </row>
    <row r="78" spans="1:10" ht="42">
      <c r="A78" s="61">
        <v>5</v>
      </c>
      <c r="B78" s="61" t="s">
        <v>138</v>
      </c>
      <c r="C78" s="61" t="s">
        <v>202</v>
      </c>
      <c r="D78" s="61">
        <v>90</v>
      </c>
      <c r="E78" s="61">
        <v>5</v>
      </c>
      <c r="F78" s="62" t="s">
        <v>720</v>
      </c>
      <c r="G78" s="61" t="s">
        <v>583</v>
      </c>
      <c r="H78" s="61" t="s">
        <v>566</v>
      </c>
      <c r="I78" s="62"/>
      <c r="J78" s="62" t="s">
        <v>721</v>
      </c>
    </row>
    <row r="79" spans="1:10" ht="42">
      <c r="A79" s="61">
        <v>5</v>
      </c>
      <c r="B79" s="61" t="s">
        <v>138</v>
      </c>
      <c r="C79" s="61" t="s">
        <v>202</v>
      </c>
      <c r="D79" s="61">
        <v>90</v>
      </c>
      <c r="E79" s="61">
        <v>5</v>
      </c>
      <c r="F79" s="62" t="s">
        <v>722</v>
      </c>
      <c r="G79" s="61" t="s">
        <v>583</v>
      </c>
      <c r="H79" s="61" t="s">
        <v>566</v>
      </c>
      <c r="I79" s="62"/>
      <c r="J79" s="62" t="s">
        <v>723</v>
      </c>
    </row>
    <row r="80" spans="1:10" ht="70">
      <c r="A80" s="61">
        <v>5</v>
      </c>
      <c r="B80" s="61" t="s">
        <v>138</v>
      </c>
      <c r="C80" s="61" t="s">
        <v>203</v>
      </c>
      <c r="D80" s="61">
        <v>90</v>
      </c>
      <c r="E80" s="61">
        <v>5</v>
      </c>
      <c r="F80" s="62" t="s">
        <v>724</v>
      </c>
      <c r="G80" s="61" t="s">
        <v>583</v>
      </c>
      <c r="H80" s="61" t="s">
        <v>566</v>
      </c>
      <c r="I80" s="62"/>
      <c r="J80" s="62" t="s">
        <v>725</v>
      </c>
    </row>
    <row r="81" spans="1:10" ht="28">
      <c r="A81" s="61">
        <v>5</v>
      </c>
      <c r="B81" s="61" t="s">
        <v>138</v>
      </c>
      <c r="C81" s="61" t="s">
        <v>204</v>
      </c>
      <c r="D81" s="61">
        <v>80</v>
      </c>
      <c r="E81" s="61">
        <v>5</v>
      </c>
      <c r="F81" s="62" t="s">
        <v>726</v>
      </c>
      <c r="G81" s="61" t="s">
        <v>583</v>
      </c>
      <c r="H81" s="61" t="s">
        <v>566</v>
      </c>
      <c r="I81" s="62"/>
      <c r="J81" s="62" t="s">
        <v>727</v>
      </c>
    </row>
    <row r="82" spans="1:10" ht="28">
      <c r="A82" s="61">
        <v>5</v>
      </c>
      <c r="B82" s="61" t="s">
        <v>138</v>
      </c>
      <c r="C82" s="61" t="s">
        <v>204</v>
      </c>
      <c r="D82" s="61">
        <v>80</v>
      </c>
      <c r="E82" s="61">
        <v>5</v>
      </c>
      <c r="F82" s="62" t="s">
        <v>728</v>
      </c>
      <c r="G82" s="61" t="s">
        <v>689</v>
      </c>
      <c r="H82" s="61" t="s">
        <v>566</v>
      </c>
      <c r="I82" s="62"/>
      <c r="J82" s="62" t="s">
        <v>729</v>
      </c>
    </row>
    <row r="83" spans="1:10" ht="42">
      <c r="A83" s="61">
        <v>5</v>
      </c>
      <c r="B83" s="61" t="s">
        <v>138</v>
      </c>
      <c r="C83" s="61" t="s">
        <v>204</v>
      </c>
      <c r="D83" s="61">
        <v>80</v>
      </c>
      <c r="E83" s="61">
        <v>5</v>
      </c>
      <c r="F83" s="62" t="s">
        <v>730</v>
      </c>
      <c r="G83" s="61" t="s">
        <v>583</v>
      </c>
      <c r="H83" s="61" t="s">
        <v>566</v>
      </c>
      <c r="I83" s="62"/>
      <c r="J83" s="62" t="s">
        <v>731</v>
      </c>
    </row>
    <row r="84" spans="1:10" ht="42">
      <c r="A84" s="61">
        <v>5</v>
      </c>
      <c r="B84" s="61" t="s">
        <v>138</v>
      </c>
      <c r="C84" s="61" t="s">
        <v>204</v>
      </c>
      <c r="D84" s="61">
        <v>80</v>
      </c>
      <c r="E84" s="61">
        <v>5</v>
      </c>
      <c r="F84" s="62" t="s">
        <v>732</v>
      </c>
      <c r="G84" s="61" t="s">
        <v>583</v>
      </c>
      <c r="H84" s="61" t="s">
        <v>566</v>
      </c>
      <c r="I84" s="62"/>
      <c r="J84" s="62" t="s">
        <v>733</v>
      </c>
    </row>
    <row r="85" spans="1:10" ht="56">
      <c r="A85" s="61">
        <v>5</v>
      </c>
      <c r="B85" s="61" t="s">
        <v>141</v>
      </c>
      <c r="C85" s="61" t="s">
        <v>203</v>
      </c>
      <c r="D85" s="61">
        <v>95</v>
      </c>
      <c r="E85" s="61">
        <v>5</v>
      </c>
      <c r="F85" s="62" t="s">
        <v>734</v>
      </c>
      <c r="G85" s="61" t="s">
        <v>583</v>
      </c>
      <c r="H85" s="61" t="s">
        <v>564</v>
      </c>
      <c r="I85" s="62" t="s">
        <v>41</v>
      </c>
      <c r="J85" s="62" t="s">
        <v>735</v>
      </c>
    </row>
    <row r="86" spans="1:10" ht="56">
      <c r="A86" s="61">
        <v>5</v>
      </c>
      <c r="B86" s="61" t="s">
        <v>141</v>
      </c>
      <c r="C86" s="61" t="s">
        <v>204</v>
      </c>
      <c r="D86" s="61">
        <v>80</v>
      </c>
      <c r="E86" s="61">
        <v>5</v>
      </c>
      <c r="F86" s="62" t="s">
        <v>736</v>
      </c>
      <c r="G86" s="61" t="s">
        <v>583</v>
      </c>
      <c r="H86" s="61" t="s">
        <v>566</v>
      </c>
      <c r="I86" s="62"/>
      <c r="J86" s="62" t="s">
        <v>737</v>
      </c>
    </row>
    <row r="87" spans="1:10" ht="42">
      <c r="A87" s="61">
        <v>5</v>
      </c>
      <c r="B87" s="61" t="s">
        <v>144</v>
      </c>
      <c r="C87" s="61" t="s">
        <v>202</v>
      </c>
      <c r="D87" s="61">
        <v>85</v>
      </c>
      <c r="E87" s="61">
        <v>2</v>
      </c>
      <c r="F87" s="62" t="s">
        <v>738</v>
      </c>
      <c r="G87" s="61" t="s">
        <v>583</v>
      </c>
      <c r="H87" s="61" t="s">
        <v>568</v>
      </c>
      <c r="I87" s="62"/>
      <c r="J87" s="62" t="s">
        <v>739</v>
      </c>
    </row>
    <row r="88" spans="1:10" ht="42">
      <c r="A88" s="61">
        <v>5</v>
      </c>
      <c r="B88" s="61" t="s">
        <v>144</v>
      </c>
      <c r="C88" s="61" t="s">
        <v>203</v>
      </c>
      <c r="D88" s="61">
        <v>90</v>
      </c>
      <c r="E88" s="61">
        <v>5</v>
      </c>
      <c r="F88" s="62" t="s">
        <v>740</v>
      </c>
      <c r="G88" s="61" t="s">
        <v>583</v>
      </c>
      <c r="H88" s="61" t="s">
        <v>568</v>
      </c>
      <c r="I88" s="62"/>
      <c r="J88" s="62" t="s">
        <v>741</v>
      </c>
    </row>
    <row r="89" spans="1:10" ht="28">
      <c r="A89" s="61">
        <v>5</v>
      </c>
      <c r="B89" s="61" t="s">
        <v>147</v>
      </c>
      <c r="C89" s="61" t="s">
        <v>202</v>
      </c>
      <c r="D89" s="61">
        <v>85</v>
      </c>
      <c r="E89" s="61">
        <v>2</v>
      </c>
      <c r="F89" s="62" t="s">
        <v>742</v>
      </c>
      <c r="G89" s="61" t="s">
        <v>583</v>
      </c>
      <c r="H89" s="61" t="s">
        <v>568</v>
      </c>
      <c r="I89" s="62"/>
      <c r="J89" s="62" t="s">
        <v>743</v>
      </c>
    </row>
    <row r="90" spans="1:10" ht="42">
      <c r="A90" s="61">
        <v>5</v>
      </c>
      <c r="B90" s="61" t="s">
        <v>147</v>
      </c>
      <c r="C90" s="61" t="s">
        <v>202</v>
      </c>
      <c r="D90" s="61">
        <v>85</v>
      </c>
      <c r="E90" s="61">
        <v>2</v>
      </c>
      <c r="F90" s="62" t="s">
        <v>744</v>
      </c>
      <c r="G90" s="61" t="s">
        <v>583</v>
      </c>
      <c r="H90" s="61" t="s">
        <v>564</v>
      </c>
      <c r="I90" s="62" t="s">
        <v>15</v>
      </c>
      <c r="J90" s="62" t="s">
        <v>745</v>
      </c>
    </row>
    <row r="91" spans="1:10" ht="42">
      <c r="A91" s="61">
        <v>5</v>
      </c>
      <c r="B91" s="61" t="s">
        <v>8</v>
      </c>
      <c r="C91" s="61" t="s">
        <v>203</v>
      </c>
      <c r="D91" s="61">
        <v>85</v>
      </c>
      <c r="E91" s="61">
        <v>5</v>
      </c>
      <c r="F91" s="62" t="s">
        <v>746</v>
      </c>
      <c r="G91" s="61" t="s">
        <v>583</v>
      </c>
      <c r="H91" s="61" t="s">
        <v>566</v>
      </c>
      <c r="I91" s="62"/>
      <c r="J91" s="62" t="s">
        <v>747</v>
      </c>
    </row>
    <row r="92" spans="1:10" ht="42">
      <c r="A92" s="61">
        <v>5</v>
      </c>
      <c r="B92" s="61" t="s">
        <v>8</v>
      </c>
      <c r="C92" s="61" t="s">
        <v>204</v>
      </c>
      <c r="D92" s="61">
        <v>85</v>
      </c>
      <c r="E92" s="61">
        <v>5</v>
      </c>
      <c r="F92" s="62" t="s">
        <v>748</v>
      </c>
      <c r="G92" s="61" t="s">
        <v>583</v>
      </c>
      <c r="H92" s="61" t="s">
        <v>566</v>
      </c>
      <c r="I92" s="62"/>
      <c r="J92" s="62" t="s">
        <v>749</v>
      </c>
    </row>
    <row r="93" spans="1:10" ht="28">
      <c r="A93" s="61">
        <v>5</v>
      </c>
      <c r="B93" s="61" t="s">
        <v>30</v>
      </c>
      <c r="C93" s="61" t="s">
        <v>202</v>
      </c>
      <c r="D93" s="61">
        <v>95</v>
      </c>
      <c r="E93" s="61">
        <v>2</v>
      </c>
      <c r="F93" s="62" t="s">
        <v>750</v>
      </c>
      <c r="G93" s="61" t="s">
        <v>583</v>
      </c>
      <c r="H93" s="61" t="s">
        <v>564</v>
      </c>
      <c r="I93" s="62" t="s">
        <v>13</v>
      </c>
      <c r="J93" s="62" t="s">
        <v>751</v>
      </c>
    </row>
    <row r="94" spans="1:10" ht="42">
      <c r="A94" s="61">
        <v>5</v>
      </c>
      <c r="B94" s="61" t="s">
        <v>30</v>
      </c>
      <c r="C94" s="61" t="s">
        <v>203</v>
      </c>
      <c r="D94" s="61">
        <v>90</v>
      </c>
      <c r="E94" s="61">
        <v>5</v>
      </c>
      <c r="F94" s="62" t="s">
        <v>752</v>
      </c>
      <c r="G94" s="61" t="s">
        <v>583</v>
      </c>
      <c r="H94" s="61" t="s">
        <v>566</v>
      </c>
      <c r="I94" s="62"/>
      <c r="J94" s="62" t="s">
        <v>753</v>
      </c>
    </row>
    <row r="95" spans="1:10" ht="42">
      <c r="A95" s="61">
        <v>5</v>
      </c>
      <c r="B95" s="61" t="s">
        <v>30</v>
      </c>
      <c r="C95" s="61" t="s">
        <v>203</v>
      </c>
      <c r="D95" s="61">
        <v>90</v>
      </c>
      <c r="E95" s="61">
        <v>5</v>
      </c>
      <c r="F95" s="62" t="s">
        <v>754</v>
      </c>
      <c r="G95" s="61" t="s">
        <v>583</v>
      </c>
      <c r="H95" s="61" t="s">
        <v>564</v>
      </c>
      <c r="I95" s="62" t="s">
        <v>755</v>
      </c>
      <c r="J95" s="62" t="s">
        <v>756</v>
      </c>
    </row>
    <row r="96" spans="1:10" ht="28">
      <c r="A96" s="61">
        <v>5</v>
      </c>
      <c r="B96" s="61" t="s">
        <v>30</v>
      </c>
      <c r="C96" s="61" t="s">
        <v>204</v>
      </c>
      <c r="D96" s="61">
        <v>95</v>
      </c>
      <c r="E96" s="61">
        <v>5</v>
      </c>
      <c r="F96" s="62" t="s">
        <v>757</v>
      </c>
      <c r="G96" s="61" t="s">
        <v>583</v>
      </c>
      <c r="H96" s="61" t="s">
        <v>564</v>
      </c>
      <c r="I96" s="62" t="s">
        <v>758</v>
      </c>
      <c r="J96" s="62" t="s">
        <v>759</v>
      </c>
    </row>
    <row r="97" spans="1:10" ht="42">
      <c r="A97" s="61">
        <v>5</v>
      </c>
      <c r="B97" s="61" t="s">
        <v>30</v>
      </c>
      <c r="C97" s="61" t="s">
        <v>204</v>
      </c>
      <c r="D97" s="61">
        <v>95</v>
      </c>
      <c r="E97" s="61">
        <v>5</v>
      </c>
      <c r="F97" s="62" t="s">
        <v>760</v>
      </c>
      <c r="G97" s="61" t="s">
        <v>583</v>
      </c>
      <c r="H97" s="61" t="s">
        <v>566</v>
      </c>
      <c r="I97" s="62"/>
      <c r="J97" s="62" t="s">
        <v>761</v>
      </c>
    </row>
    <row r="98" spans="1:10" ht="42">
      <c r="A98" s="61">
        <v>5</v>
      </c>
      <c r="B98" s="61" t="s">
        <v>38</v>
      </c>
      <c r="C98" s="61" t="s">
        <v>203</v>
      </c>
      <c r="D98" s="61">
        <v>95</v>
      </c>
      <c r="E98" s="61">
        <v>5</v>
      </c>
      <c r="F98" s="62" t="s">
        <v>762</v>
      </c>
      <c r="G98" s="61" t="s">
        <v>583</v>
      </c>
      <c r="H98" s="61" t="s">
        <v>570</v>
      </c>
      <c r="I98" s="62"/>
      <c r="J98" s="62" t="s">
        <v>763</v>
      </c>
    </row>
    <row r="99" spans="1:10" ht="28">
      <c r="A99" s="61">
        <v>5</v>
      </c>
      <c r="B99" s="61" t="s">
        <v>38</v>
      </c>
      <c r="C99" s="61" t="s">
        <v>203</v>
      </c>
      <c r="D99" s="61">
        <v>95</v>
      </c>
      <c r="E99" s="61">
        <v>5</v>
      </c>
      <c r="F99" s="62" t="s">
        <v>764</v>
      </c>
      <c r="G99" s="61" t="s">
        <v>583</v>
      </c>
      <c r="H99" s="61" t="s">
        <v>564</v>
      </c>
      <c r="I99" s="62" t="s">
        <v>765</v>
      </c>
      <c r="J99" s="62" t="s">
        <v>766</v>
      </c>
    </row>
    <row r="100" spans="1:10" ht="28">
      <c r="A100" s="61">
        <v>5</v>
      </c>
      <c r="B100" s="61" t="s">
        <v>38</v>
      </c>
      <c r="C100" s="61" t="s">
        <v>204</v>
      </c>
      <c r="D100" s="61">
        <v>90</v>
      </c>
      <c r="E100" s="61">
        <v>5</v>
      </c>
      <c r="F100" s="62" t="s">
        <v>767</v>
      </c>
      <c r="G100" s="61" t="s">
        <v>583</v>
      </c>
      <c r="H100" s="61" t="s">
        <v>564</v>
      </c>
      <c r="I100" s="62" t="s">
        <v>602</v>
      </c>
      <c r="J100" s="62" t="s">
        <v>768</v>
      </c>
    </row>
    <row r="101" spans="1:10" ht="28">
      <c r="A101" s="61">
        <v>5</v>
      </c>
      <c r="B101" s="61" t="s">
        <v>38</v>
      </c>
      <c r="C101" s="61" t="s">
        <v>204</v>
      </c>
      <c r="D101" s="61">
        <v>90</v>
      </c>
      <c r="E101" s="61">
        <v>5</v>
      </c>
      <c r="F101" s="62" t="s">
        <v>769</v>
      </c>
      <c r="G101" s="61" t="s">
        <v>583</v>
      </c>
      <c r="H101" s="61" t="s">
        <v>572</v>
      </c>
      <c r="I101" s="62"/>
      <c r="J101" s="62" t="s">
        <v>770</v>
      </c>
    </row>
    <row r="102" spans="1:10" ht="56">
      <c r="A102" s="61">
        <v>5</v>
      </c>
      <c r="B102" s="61" t="s">
        <v>44</v>
      </c>
      <c r="C102" s="61" t="s">
        <v>202</v>
      </c>
      <c r="D102" s="61">
        <v>85</v>
      </c>
      <c r="E102" s="61">
        <v>4</v>
      </c>
      <c r="F102" s="62" t="s">
        <v>771</v>
      </c>
      <c r="G102" s="61" t="s">
        <v>583</v>
      </c>
      <c r="H102" s="61" t="s">
        <v>566</v>
      </c>
      <c r="I102" s="62"/>
      <c r="J102" s="62" t="s">
        <v>772</v>
      </c>
    </row>
    <row r="103" spans="1:10" ht="42">
      <c r="A103" s="61">
        <v>5</v>
      </c>
      <c r="B103" s="61" t="s">
        <v>44</v>
      </c>
      <c r="C103" s="61" t="s">
        <v>202</v>
      </c>
      <c r="D103" s="61">
        <v>85</v>
      </c>
      <c r="E103" s="61">
        <v>4</v>
      </c>
      <c r="F103" s="62" t="s">
        <v>773</v>
      </c>
      <c r="G103" s="61" t="s">
        <v>583</v>
      </c>
      <c r="H103" s="61" t="s">
        <v>566</v>
      </c>
      <c r="I103" s="62"/>
      <c r="J103" s="62" t="s">
        <v>774</v>
      </c>
    </row>
    <row r="104" spans="1:10" ht="42">
      <c r="A104" s="61">
        <v>5</v>
      </c>
      <c r="B104" s="61" t="s">
        <v>44</v>
      </c>
      <c r="C104" s="61" t="s">
        <v>202</v>
      </c>
      <c r="D104" s="61">
        <v>85</v>
      </c>
      <c r="E104" s="61">
        <v>4</v>
      </c>
      <c r="F104" s="62" t="s">
        <v>775</v>
      </c>
      <c r="G104" s="61" t="s">
        <v>583</v>
      </c>
      <c r="H104" s="61" t="s">
        <v>566</v>
      </c>
      <c r="I104" s="62"/>
      <c r="J104" s="62" t="s">
        <v>776</v>
      </c>
    </row>
    <row r="105" spans="1:10" ht="42">
      <c r="A105" s="61">
        <v>5</v>
      </c>
      <c r="B105" s="61" t="s">
        <v>44</v>
      </c>
      <c r="C105" s="61" t="s">
        <v>203</v>
      </c>
      <c r="D105" s="61">
        <v>85</v>
      </c>
      <c r="E105" s="61">
        <v>5</v>
      </c>
      <c r="F105" s="62" t="s">
        <v>777</v>
      </c>
      <c r="G105" s="61" t="s">
        <v>583</v>
      </c>
      <c r="H105" s="61" t="s">
        <v>566</v>
      </c>
      <c r="I105" s="62"/>
      <c r="J105" s="62" t="s">
        <v>778</v>
      </c>
    </row>
    <row r="106" spans="1:10" ht="28">
      <c r="A106" s="61">
        <v>5</v>
      </c>
      <c r="B106" s="61" t="s">
        <v>44</v>
      </c>
      <c r="C106" s="61" t="s">
        <v>203</v>
      </c>
      <c r="D106" s="61">
        <v>85</v>
      </c>
      <c r="E106" s="61">
        <v>5</v>
      </c>
      <c r="F106" s="62" t="s">
        <v>779</v>
      </c>
      <c r="G106" s="61" t="s">
        <v>583</v>
      </c>
      <c r="H106" s="61" t="s">
        <v>564</v>
      </c>
      <c r="I106" s="62" t="s">
        <v>596</v>
      </c>
      <c r="J106" s="62" t="s">
        <v>780</v>
      </c>
    </row>
    <row r="107" spans="1:10" ht="42">
      <c r="A107" s="61">
        <v>5</v>
      </c>
      <c r="B107" s="61" t="s">
        <v>44</v>
      </c>
      <c r="C107" s="61" t="s">
        <v>203</v>
      </c>
      <c r="D107" s="61">
        <v>85</v>
      </c>
      <c r="E107" s="61">
        <v>5</v>
      </c>
      <c r="F107" s="62" t="s">
        <v>781</v>
      </c>
      <c r="G107" s="61" t="s">
        <v>583</v>
      </c>
      <c r="H107" s="61" t="s">
        <v>566</v>
      </c>
      <c r="I107" s="62"/>
      <c r="J107" s="62" t="s">
        <v>782</v>
      </c>
    </row>
    <row r="108" spans="1:10" ht="42">
      <c r="A108" s="61">
        <v>5</v>
      </c>
      <c r="B108" s="61" t="s">
        <v>44</v>
      </c>
      <c r="C108" s="61" t="s">
        <v>203</v>
      </c>
      <c r="D108" s="61">
        <v>85</v>
      </c>
      <c r="E108" s="61">
        <v>5</v>
      </c>
      <c r="F108" s="62" t="s">
        <v>783</v>
      </c>
      <c r="G108" s="61" t="s">
        <v>583</v>
      </c>
      <c r="H108" s="61" t="s">
        <v>572</v>
      </c>
      <c r="I108" s="62"/>
      <c r="J108" s="62" t="s">
        <v>784</v>
      </c>
    </row>
    <row r="109" spans="1:10" ht="42">
      <c r="A109" s="61">
        <v>5</v>
      </c>
      <c r="B109" s="61" t="s">
        <v>44</v>
      </c>
      <c r="C109" s="61" t="s">
        <v>204</v>
      </c>
      <c r="D109" s="61">
        <v>85</v>
      </c>
      <c r="E109" s="61">
        <v>5</v>
      </c>
      <c r="F109" s="62" t="s">
        <v>785</v>
      </c>
      <c r="G109" s="61" t="s">
        <v>583</v>
      </c>
      <c r="H109" s="61" t="s">
        <v>564</v>
      </c>
      <c r="I109" s="62" t="s">
        <v>786</v>
      </c>
      <c r="J109" s="62" t="s">
        <v>787</v>
      </c>
    </row>
    <row r="110" spans="1:10" ht="42">
      <c r="A110" s="61">
        <v>5</v>
      </c>
      <c r="B110" s="61" t="s">
        <v>44</v>
      </c>
      <c r="C110" s="61" t="s">
        <v>204</v>
      </c>
      <c r="D110" s="61">
        <v>85</v>
      </c>
      <c r="E110" s="61">
        <v>5</v>
      </c>
      <c r="F110" s="62" t="s">
        <v>788</v>
      </c>
      <c r="G110" s="61" t="s">
        <v>583</v>
      </c>
      <c r="H110" s="61" t="s">
        <v>566</v>
      </c>
      <c r="I110" s="62"/>
      <c r="J110" s="62" t="s">
        <v>789</v>
      </c>
    </row>
    <row r="111" spans="1:10" ht="42">
      <c r="A111" s="61">
        <v>5</v>
      </c>
      <c r="B111" s="61" t="s">
        <v>44</v>
      </c>
      <c r="C111" s="61" t="s">
        <v>204</v>
      </c>
      <c r="D111" s="61">
        <v>85</v>
      </c>
      <c r="E111" s="61">
        <v>5</v>
      </c>
      <c r="F111" s="62" t="s">
        <v>790</v>
      </c>
      <c r="G111" s="61" t="s">
        <v>583</v>
      </c>
      <c r="H111" s="61" t="s">
        <v>572</v>
      </c>
      <c r="I111" s="62"/>
      <c r="J111" s="62" t="s">
        <v>791</v>
      </c>
    </row>
    <row r="112" spans="1:10" ht="42">
      <c r="A112" s="61">
        <v>10</v>
      </c>
      <c r="B112" s="61" t="s">
        <v>117</v>
      </c>
      <c r="C112" s="61" t="s">
        <v>203</v>
      </c>
      <c r="D112" s="61">
        <v>85</v>
      </c>
      <c r="E112" s="61">
        <v>10</v>
      </c>
      <c r="F112" s="62" t="s">
        <v>792</v>
      </c>
      <c r="G112" s="61" t="s">
        <v>583</v>
      </c>
      <c r="H112" s="61" t="s">
        <v>566</v>
      </c>
      <c r="I112" s="62"/>
      <c r="J112" s="62" t="s">
        <v>793</v>
      </c>
    </row>
    <row r="113" spans="1:10" ht="28">
      <c r="A113" s="61">
        <v>10</v>
      </c>
      <c r="B113" s="61" t="s">
        <v>117</v>
      </c>
      <c r="C113" s="61" t="s">
        <v>203</v>
      </c>
      <c r="D113" s="61">
        <v>85</v>
      </c>
      <c r="E113" s="61">
        <v>10</v>
      </c>
      <c r="F113" s="62" t="s">
        <v>794</v>
      </c>
      <c r="G113" s="61" t="s">
        <v>583</v>
      </c>
      <c r="H113" s="61" t="s">
        <v>564</v>
      </c>
      <c r="I113" s="62" t="s">
        <v>599</v>
      </c>
      <c r="J113" s="62" t="s">
        <v>795</v>
      </c>
    </row>
    <row r="114" spans="1:10" ht="42">
      <c r="A114" s="61">
        <v>10</v>
      </c>
      <c r="B114" s="61" t="s">
        <v>117</v>
      </c>
      <c r="C114" s="61" t="s">
        <v>203</v>
      </c>
      <c r="D114" s="61">
        <v>85</v>
      </c>
      <c r="E114" s="61">
        <v>10</v>
      </c>
      <c r="F114" s="62" t="s">
        <v>796</v>
      </c>
      <c r="G114" s="61" t="s">
        <v>583</v>
      </c>
      <c r="H114" s="61" t="s">
        <v>566</v>
      </c>
      <c r="I114" s="62"/>
      <c r="J114" s="62" t="s">
        <v>797</v>
      </c>
    </row>
    <row r="115" spans="1:10" ht="28">
      <c r="A115" s="61">
        <v>10</v>
      </c>
      <c r="B115" s="61" t="s">
        <v>117</v>
      </c>
      <c r="C115" s="61" t="s">
        <v>204</v>
      </c>
      <c r="D115" s="61">
        <v>90</v>
      </c>
      <c r="E115" s="61">
        <v>10</v>
      </c>
      <c r="F115" s="62" t="s">
        <v>798</v>
      </c>
      <c r="G115" s="61" t="s">
        <v>583</v>
      </c>
      <c r="H115" s="61" t="s">
        <v>564</v>
      </c>
      <c r="I115" s="62" t="s">
        <v>599</v>
      </c>
      <c r="J115" s="62" t="s">
        <v>799</v>
      </c>
    </row>
    <row r="116" spans="1:10" ht="42">
      <c r="A116" s="61">
        <v>10</v>
      </c>
      <c r="B116" s="61" t="s">
        <v>117</v>
      </c>
      <c r="C116" s="61" t="s">
        <v>204</v>
      </c>
      <c r="D116" s="61">
        <v>90</v>
      </c>
      <c r="E116" s="61">
        <v>10</v>
      </c>
      <c r="F116" s="62" t="s">
        <v>800</v>
      </c>
      <c r="G116" s="61" t="s">
        <v>689</v>
      </c>
      <c r="H116" s="61" t="s">
        <v>566</v>
      </c>
      <c r="I116" s="62"/>
      <c r="J116" s="62" t="s">
        <v>801</v>
      </c>
    </row>
    <row r="117" spans="1:10" ht="42">
      <c r="A117" s="61">
        <v>10</v>
      </c>
      <c r="B117" s="61" t="s">
        <v>117</v>
      </c>
      <c r="C117" s="61" t="s">
        <v>204</v>
      </c>
      <c r="D117" s="61">
        <v>90</v>
      </c>
      <c r="E117" s="61">
        <v>10</v>
      </c>
      <c r="F117" s="62" t="s">
        <v>802</v>
      </c>
      <c r="G117" s="61" t="s">
        <v>583</v>
      </c>
      <c r="H117" s="61" t="s">
        <v>566</v>
      </c>
      <c r="I117" s="62"/>
      <c r="J117" s="62" t="s">
        <v>803</v>
      </c>
    </row>
    <row r="118" spans="1:10" ht="28">
      <c r="A118" s="61">
        <v>10</v>
      </c>
      <c r="B118" s="61" t="s">
        <v>120</v>
      </c>
      <c r="C118" s="61" t="s">
        <v>203</v>
      </c>
      <c r="D118" s="61">
        <v>95</v>
      </c>
      <c r="E118" s="61">
        <v>10</v>
      </c>
      <c r="F118" s="62" t="s">
        <v>804</v>
      </c>
      <c r="G118" s="61" t="s">
        <v>583</v>
      </c>
      <c r="H118" s="61" t="s">
        <v>564</v>
      </c>
      <c r="I118" s="62" t="s">
        <v>805</v>
      </c>
      <c r="J118" s="62" t="s">
        <v>806</v>
      </c>
    </row>
    <row r="119" spans="1:10" ht="42">
      <c r="A119" s="61">
        <v>10</v>
      </c>
      <c r="B119" s="61" t="s">
        <v>120</v>
      </c>
      <c r="C119" s="61" t="s">
        <v>204</v>
      </c>
      <c r="D119" s="61">
        <v>95</v>
      </c>
      <c r="E119" s="61">
        <v>10</v>
      </c>
      <c r="F119" s="62" t="s">
        <v>807</v>
      </c>
      <c r="G119" s="61" t="s">
        <v>583</v>
      </c>
      <c r="H119" s="61" t="s">
        <v>564</v>
      </c>
      <c r="I119" s="62" t="s">
        <v>808</v>
      </c>
      <c r="J119" s="62" t="s">
        <v>809</v>
      </c>
    </row>
    <row r="120" spans="1:10" ht="28">
      <c r="A120" s="61">
        <v>10</v>
      </c>
      <c r="B120" s="61" t="s">
        <v>123</v>
      </c>
      <c r="C120" s="61" t="s">
        <v>203</v>
      </c>
      <c r="D120" s="61">
        <v>65</v>
      </c>
      <c r="E120" s="61">
        <v>6</v>
      </c>
      <c r="F120" s="62" t="s">
        <v>810</v>
      </c>
      <c r="G120" s="61" t="s">
        <v>583</v>
      </c>
      <c r="H120" s="61" t="s">
        <v>566</v>
      </c>
      <c r="I120" s="62"/>
      <c r="J120" s="62" t="s">
        <v>811</v>
      </c>
    </row>
    <row r="121" spans="1:10" ht="28">
      <c r="A121" s="61">
        <v>10</v>
      </c>
      <c r="B121" s="61" t="s">
        <v>123</v>
      </c>
      <c r="C121" s="61" t="s">
        <v>203</v>
      </c>
      <c r="D121" s="61">
        <v>65</v>
      </c>
      <c r="E121" s="61">
        <v>6</v>
      </c>
      <c r="F121" s="62" t="s">
        <v>812</v>
      </c>
      <c r="G121" s="61" t="s">
        <v>583</v>
      </c>
      <c r="H121" s="61" t="s">
        <v>566</v>
      </c>
      <c r="I121" s="62"/>
      <c r="J121" s="62" t="s">
        <v>813</v>
      </c>
    </row>
    <row r="122" spans="1:10" ht="28">
      <c r="A122" s="61">
        <v>10</v>
      </c>
      <c r="B122" s="61" t="s">
        <v>123</v>
      </c>
      <c r="C122" s="61" t="s">
        <v>203</v>
      </c>
      <c r="D122" s="61">
        <v>65</v>
      </c>
      <c r="E122" s="61">
        <v>6</v>
      </c>
      <c r="F122" s="62" t="s">
        <v>814</v>
      </c>
      <c r="G122" s="61" t="s">
        <v>583</v>
      </c>
      <c r="H122" s="61" t="s">
        <v>566</v>
      </c>
      <c r="I122" s="62"/>
      <c r="J122" s="62" t="s">
        <v>815</v>
      </c>
    </row>
    <row r="123" spans="1:10" ht="28">
      <c r="A123" s="61">
        <v>10</v>
      </c>
      <c r="B123" s="61" t="s">
        <v>123</v>
      </c>
      <c r="C123" s="61" t="s">
        <v>203</v>
      </c>
      <c r="D123" s="61">
        <v>65</v>
      </c>
      <c r="E123" s="61">
        <v>6</v>
      </c>
      <c r="F123" s="62" t="s">
        <v>816</v>
      </c>
      <c r="G123" s="61" t="s">
        <v>583</v>
      </c>
      <c r="H123" s="61" t="s">
        <v>564</v>
      </c>
      <c r="I123" s="62" t="s">
        <v>11</v>
      </c>
      <c r="J123" s="62" t="s">
        <v>817</v>
      </c>
    </row>
    <row r="124" spans="1:10" ht="28">
      <c r="A124" s="61">
        <v>10</v>
      </c>
      <c r="B124" s="61" t="s">
        <v>123</v>
      </c>
      <c r="C124" s="61" t="s">
        <v>203</v>
      </c>
      <c r="D124" s="61">
        <v>65</v>
      </c>
      <c r="E124" s="61">
        <v>6</v>
      </c>
      <c r="F124" s="62" t="s">
        <v>818</v>
      </c>
      <c r="G124" s="61" t="s">
        <v>583</v>
      </c>
      <c r="H124" s="61" t="s">
        <v>564</v>
      </c>
      <c r="I124" s="62" t="s">
        <v>599</v>
      </c>
      <c r="J124" s="62" t="s">
        <v>819</v>
      </c>
    </row>
    <row r="125" spans="1:10" ht="28">
      <c r="A125" s="61">
        <v>10</v>
      </c>
      <c r="B125" s="61" t="s">
        <v>123</v>
      </c>
      <c r="C125" s="61" t="s">
        <v>204</v>
      </c>
      <c r="D125" s="61">
        <v>85</v>
      </c>
      <c r="E125" s="61">
        <v>6</v>
      </c>
      <c r="F125" s="62" t="s">
        <v>820</v>
      </c>
      <c r="G125" s="61" t="s">
        <v>583</v>
      </c>
      <c r="H125" s="61" t="s">
        <v>566</v>
      </c>
      <c r="I125" s="62"/>
      <c r="J125" s="62" t="s">
        <v>821</v>
      </c>
    </row>
    <row r="126" spans="1:10" ht="42">
      <c r="A126" s="61">
        <v>10</v>
      </c>
      <c r="B126" s="61" t="s">
        <v>123</v>
      </c>
      <c r="C126" s="61" t="s">
        <v>204</v>
      </c>
      <c r="D126" s="61">
        <v>85</v>
      </c>
      <c r="E126" s="61">
        <v>6</v>
      </c>
      <c r="F126" s="62" t="s">
        <v>822</v>
      </c>
      <c r="G126" s="61" t="s">
        <v>583</v>
      </c>
      <c r="H126" s="61" t="s">
        <v>566</v>
      </c>
      <c r="I126" s="62"/>
      <c r="J126" s="62" t="s">
        <v>823</v>
      </c>
    </row>
    <row r="127" spans="1:10" ht="28">
      <c r="A127" s="61">
        <v>10</v>
      </c>
      <c r="B127" s="61" t="s">
        <v>123</v>
      </c>
      <c r="C127" s="61" t="s">
        <v>204</v>
      </c>
      <c r="D127" s="61">
        <v>85</v>
      </c>
      <c r="E127" s="61">
        <v>6</v>
      </c>
      <c r="F127" s="62" t="s">
        <v>824</v>
      </c>
      <c r="G127" s="61" t="s">
        <v>583</v>
      </c>
      <c r="H127" s="61" t="s">
        <v>566</v>
      </c>
      <c r="I127" s="62"/>
      <c r="J127" s="62" t="s">
        <v>825</v>
      </c>
    </row>
    <row r="128" spans="1:10" ht="28">
      <c r="A128" s="61">
        <v>10</v>
      </c>
      <c r="B128" s="61" t="s">
        <v>123</v>
      </c>
      <c r="C128" s="61" t="s">
        <v>204</v>
      </c>
      <c r="D128" s="61">
        <v>85</v>
      </c>
      <c r="E128" s="61">
        <v>6</v>
      </c>
      <c r="F128" s="62" t="s">
        <v>826</v>
      </c>
      <c r="G128" s="61" t="s">
        <v>583</v>
      </c>
      <c r="H128" s="61" t="s">
        <v>564</v>
      </c>
      <c r="I128" s="62" t="s">
        <v>827</v>
      </c>
      <c r="J128" s="62" t="s">
        <v>828</v>
      </c>
    </row>
    <row r="129" spans="1:10" ht="56">
      <c r="A129" s="61">
        <v>10</v>
      </c>
      <c r="B129" s="61" t="s">
        <v>126</v>
      </c>
      <c r="C129" s="61" t="s">
        <v>203</v>
      </c>
      <c r="D129" s="61">
        <v>85</v>
      </c>
      <c r="E129" s="61">
        <v>9</v>
      </c>
      <c r="F129" s="62" t="s">
        <v>829</v>
      </c>
      <c r="G129" s="61" t="s">
        <v>583</v>
      </c>
      <c r="H129" s="61" t="s">
        <v>566</v>
      </c>
      <c r="I129" s="62"/>
      <c r="J129" s="62" t="s">
        <v>830</v>
      </c>
    </row>
    <row r="130" spans="1:10" ht="42">
      <c r="A130" s="61">
        <v>10</v>
      </c>
      <c r="B130" s="61" t="s">
        <v>126</v>
      </c>
      <c r="C130" s="61" t="s">
        <v>203</v>
      </c>
      <c r="D130" s="61">
        <v>85</v>
      </c>
      <c r="E130" s="61">
        <v>9</v>
      </c>
      <c r="F130" s="62" t="s">
        <v>831</v>
      </c>
      <c r="G130" s="61" t="s">
        <v>583</v>
      </c>
      <c r="H130" s="61" t="s">
        <v>566</v>
      </c>
      <c r="I130" s="62"/>
      <c r="J130" s="62" t="s">
        <v>832</v>
      </c>
    </row>
    <row r="131" spans="1:10" ht="28">
      <c r="A131" s="61">
        <v>10</v>
      </c>
      <c r="B131" s="61" t="s">
        <v>126</v>
      </c>
      <c r="C131" s="61" t="s">
        <v>203</v>
      </c>
      <c r="D131" s="61">
        <v>85</v>
      </c>
      <c r="E131" s="61">
        <v>9</v>
      </c>
      <c r="F131" s="62" t="s">
        <v>833</v>
      </c>
      <c r="G131" s="61" t="s">
        <v>583</v>
      </c>
      <c r="H131" s="61" t="s">
        <v>564</v>
      </c>
      <c r="I131" s="62" t="s">
        <v>655</v>
      </c>
      <c r="J131" s="62" t="s">
        <v>834</v>
      </c>
    </row>
    <row r="132" spans="1:10" ht="42">
      <c r="A132" s="61">
        <v>10</v>
      </c>
      <c r="B132" s="61" t="s">
        <v>126</v>
      </c>
      <c r="C132" s="61" t="s">
        <v>204</v>
      </c>
      <c r="D132" s="61">
        <v>80</v>
      </c>
      <c r="E132" s="61">
        <v>9</v>
      </c>
      <c r="F132" s="62" t="s">
        <v>835</v>
      </c>
      <c r="G132" s="61" t="s">
        <v>583</v>
      </c>
      <c r="H132" s="61" t="s">
        <v>564</v>
      </c>
      <c r="I132" s="62" t="s">
        <v>836</v>
      </c>
      <c r="J132" s="62" t="s">
        <v>837</v>
      </c>
    </row>
    <row r="133" spans="1:10" ht="28">
      <c r="A133" s="61">
        <v>10</v>
      </c>
      <c r="B133" s="61" t="s">
        <v>126</v>
      </c>
      <c r="C133" s="61" t="s">
        <v>204</v>
      </c>
      <c r="D133" s="61">
        <v>80</v>
      </c>
      <c r="E133" s="61">
        <v>9</v>
      </c>
      <c r="F133" s="62" t="s">
        <v>838</v>
      </c>
      <c r="G133" s="61" t="s">
        <v>583</v>
      </c>
      <c r="H133" s="61" t="s">
        <v>564</v>
      </c>
      <c r="I133" s="62" t="s">
        <v>839</v>
      </c>
      <c r="J133" s="62" t="s">
        <v>840</v>
      </c>
    </row>
    <row r="134" spans="1:10" ht="42">
      <c r="A134" s="61">
        <v>10</v>
      </c>
      <c r="B134" s="61" t="s">
        <v>126</v>
      </c>
      <c r="C134" s="61" t="s">
        <v>204</v>
      </c>
      <c r="D134" s="61">
        <v>80</v>
      </c>
      <c r="E134" s="61">
        <v>9</v>
      </c>
      <c r="F134" s="62" t="s">
        <v>841</v>
      </c>
      <c r="G134" s="61" t="s">
        <v>583</v>
      </c>
      <c r="H134" s="61" t="s">
        <v>566</v>
      </c>
      <c r="I134" s="62"/>
      <c r="J134" s="62" t="s">
        <v>842</v>
      </c>
    </row>
    <row r="135" spans="1:10" ht="42">
      <c r="A135" s="61">
        <v>10</v>
      </c>
      <c r="B135" s="61" t="s">
        <v>126</v>
      </c>
      <c r="C135" s="61" t="s">
        <v>204</v>
      </c>
      <c r="D135" s="61">
        <v>80</v>
      </c>
      <c r="E135" s="61">
        <v>9</v>
      </c>
      <c r="F135" s="62" t="s">
        <v>843</v>
      </c>
      <c r="G135" s="61" t="s">
        <v>583</v>
      </c>
      <c r="H135" s="61" t="s">
        <v>566</v>
      </c>
      <c r="I135" s="62"/>
      <c r="J135" s="62" t="s">
        <v>844</v>
      </c>
    </row>
    <row r="136" spans="1:10" ht="28">
      <c r="A136" s="61">
        <v>10</v>
      </c>
      <c r="B136" s="61" t="s">
        <v>126</v>
      </c>
      <c r="C136" s="61" t="s">
        <v>204</v>
      </c>
      <c r="D136" s="61">
        <v>80</v>
      </c>
      <c r="E136" s="61">
        <v>9</v>
      </c>
      <c r="F136" s="62" t="s">
        <v>845</v>
      </c>
      <c r="G136" s="61" t="s">
        <v>583</v>
      </c>
      <c r="H136" s="61" t="s">
        <v>566</v>
      </c>
      <c r="I136" s="62"/>
      <c r="J136" s="62" t="s">
        <v>846</v>
      </c>
    </row>
    <row r="137" spans="1:10" ht="42">
      <c r="A137" s="61">
        <v>10</v>
      </c>
      <c r="B137" s="61" t="s">
        <v>126</v>
      </c>
      <c r="C137" s="61" t="s">
        <v>204</v>
      </c>
      <c r="D137" s="61">
        <v>80</v>
      </c>
      <c r="E137" s="61">
        <v>9</v>
      </c>
      <c r="F137" s="62" t="s">
        <v>847</v>
      </c>
      <c r="G137" s="61" t="s">
        <v>583</v>
      </c>
      <c r="H137" s="61" t="s">
        <v>564</v>
      </c>
      <c r="I137" s="62" t="s">
        <v>61</v>
      </c>
      <c r="J137" s="62" t="s">
        <v>848</v>
      </c>
    </row>
    <row r="138" spans="1:10" ht="28">
      <c r="A138" s="61">
        <v>10</v>
      </c>
      <c r="B138" s="61" t="s">
        <v>126</v>
      </c>
      <c r="C138" s="61" t="s">
        <v>204</v>
      </c>
      <c r="D138" s="61">
        <v>80</v>
      </c>
      <c r="E138" s="61">
        <v>9</v>
      </c>
      <c r="F138" s="62" t="s">
        <v>849</v>
      </c>
      <c r="G138" s="61" t="s">
        <v>583</v>
      </c>
      <c r="H138" s="61" t="s">
        <v>564</v>
      </c>
      <c r="I138" s="62" t="s">
        <v>25</v>
      </c>
      <c r="J138" s="62" t="s">
        <v>850</v>
      </c>
    </row>
    <row r="139" spans="1:10" ht="56">
      <c r="A139" s="61">
        <v>10</v>
      </c>
      <c r="B139" s="61" t="s">
        <v>129</v>
      </c>
      <c r="C139" s="61" t="s">
        <v>203</v>
      </c>
      <c r="D139" s="61">
        <v>85</v>
      </c>
      <c r="E139" s="61">
        <v>10</v>
      </c>
      <c r="F139" s="62" t="s">
        <v>851</v>
      </c>
      <c r="G139" s="61" t="s">
        <v>583</v>
      </c>
      <c r="H139" s="61" t="s">
        <v>566</v>
      </c>
      <c r="I139" s="62"/>
      <c r="J139" s="62" t="s">
        <v>852</v>
      </c>
    </row>
    <row r="140" spans="1:10" ht="42">
      <c r="A140" s="61">
        <v>10</v>
      </c>
      <c r="B140" s="61" t="s">
        <v>129</v>
      </c>
      <c r="C140" s="61" t="s">
        <v>203</v>
      </c>
      <c r="D140" s="61">
        <v>85</v>
      </c>
      <c r="E140" s="61">
        <v>10</v>
      </c>
      <c r="F140" s="62" t="s">
        <v>853</v>
      </c>
      <c r="G140" s="61" t="s">
        <v>583</v>
      </c>
      <c r="H140" s="61" t="s">
        <v>566</v>
      </c>
      <c r="I140" s="62"/>
      <c r="J140" s="62" t="s">
        <v>854</v>
      </c>
    </row>
    <row r="141" spans="1:10" ht="56">
      <c r="A141" s="61">
        <v>10</v>
      </c>
      <c r="B141" s="61" t="s">
        <v>129</v>
      </c>
      <c r="C141" s="61" t="s">
        <v>204</v>
      </c>
      <c r="D141" s="61">
        <v>75</v>
      </c>
      <c r="E141" s="61">
        <v>10</v>
      </c>
      <c r="F141" s="62" t="s">
        <v>855</v>
      </c>
      <c r="G141" s="61" t="s">
        <v>583</v>
      </c>
      <c r="H141" s="61" t="s">
        <v>568</v>
      </c>
      <c r="I141" s="62"/>
      <c r="J141" s="62" t="s">
        <v>856</v>
      </c>
    </row>
    <row r="142" spans="1:10" ht="28">
      <c r="A142" s="61">
        <v>10</v>
      </c>
      <c r="B142" s="61" t="s">
        <v>129</v>
      </c>
      <c r="C142" s="61" t="s">
        <v>204</v>
      </c>
      <c r="D142" s="61">
        <v>75</v>
      </c>
      <c r="E142" s="61">
        <v>10</v>
      </c>
      <c r="F142" s="62" t="s">
        <v>857</v>
      </c>
      <c r="G142" s="61" t="s">
        <v>583</v>
      </c>
      <c r="H142" s="61" t="s">
        <v>566</v>
      </c>
      <c r="I142" s="62"/>
      <c r="J142" s="62" t="s">
        <v>858</v>
      </c>
    </row>
    <row r="143" spans="1:10" ht="28">
      <c r="A143" s="61">
        <v>10</v>
      </c>
      <c r="B143" s="61" t="s">
        <v>129</v>
      </c>
      <c r="C143" s="61" t="s">
        <v>204</v>
      </c>
      <c r="D143" s="61">
        <v>75</v>
      </c>
      <c r="E143" s="61">
        <v>10</v>
      </c>
      <c r="F143" s="62" t="s">
        <v>859</v>
      </c>
      <c r="G143" s="61" t="s">
        <v>583</v>
      </c>
      <c r="H143" s="61" t="s">
        <v>568</v>
      </c>
      <c r="I143" s="62"/>
      <c r="J143" s="62" t="s">
        <v>860</v>
      </c>
    </row>
    <row r="144" spans="1:10" ht="42">
      <c r="A144" s="61">
        <v>10</v>
      </c>
      <c r="B144" s="61" t="s">
        <v>129</v>
      </c>
      <c r="C144" s="61" t="s">
        <v>204</v>
      </c>
      <c r="D144" s="61">
        <v>75</v>
      </c>
      <c r="E144" s="61">
        <v>10</v>
      </c>
      <c r="F144" s="62" t="s">
        <v>861</v>
      </c>
      <c r="G144" s="61" t="s">
        <v>583</v>
      </c>
      <c r="H144" s="61" t="s">
        <v>564</v>
      </c>
      <c r="I144" s="62" t="s">
        <v>862</v>
      </c>
      <c r="J144" s="62" t="s">
        <v>863</v>
      </c>
    </row>
    <row r="145" spans="1:10" ht="28">
      <c r="A145" s="61">
        <v>10</v>
      </c>
      <c r="B145" s="61" t="s">
        <v>132</v>
      </c>
      <c r="C145" s="61" t="s">
        <v>202</v>
      </c>
      <c r="D145" s="61">
        <v>85</v>
      </c>
      <c r="E145" s="61">
        <v>8</v>
      </c>
      <c r="F145" s="62" t="s">
        <v>864</v>
      </c>
      <c r="G145" s="61" t="s">
        <v>583</v>
      </c>
      <c r="H145" s="61" t="s">
        <v>566</v>
      </c>
      <c r="I145" s="62"/>
      <c r="J145" s="62" t="s">
        <v>865</v>
      </c>
    </row>
    <row r="146" spans="1:10" ht="42">
      <c r="A146" s="61">
        <v>10</v>
      </c>
      <c r="B146" s="61" t="s">
        <v>132</v>
      </c>
      <c r="C146" s="61" t="s">
        <v>202</v>
      </c>
      <c r="D146" s="61">
        <v>85</v>
      </c>
      <c r="E146" s="61">
        <v>8</v>
      </c>
      <c r="F146" s="62" t="s">
        <v>866</v>
      </c>
      <c r="G146" s="61" t="s">
        <v>583</v>
      </c>
      <c r="H146" s="61" t="s">
        <v>564</v>
      </c>
      <c r="I146" s="62" t="s">
        <v>94</v>
      </c>
      <c r="J146" s="62" t="s">
        <v>867</v>
      </c>
    </row>
    <row r="147" spans="1:10" ht="28">
      <c r="A147" s="61">
        <v>10</v>
      </c>
      <c r="B147" s="61" t="s">
        <v>132</v>
      </c>
      <c r="C147" s="61" t="s">
        <v>202</v>
      </c>
      <c r="D147" s="61">
        <v>85</v>
      </c>
      <c r="E147" s="61">
        <v>8</v>
      </c>
      <c r="F147" s="62" t="s">
        <v>868</v>
      </c>
      <c r="G147" s="61" t="s">
        <v>583</v>
      </c>
      <c r="H147" s="61" t="s">
        <v>566</v>
      </c>
      <c r="I147" s="62"/>
      <c r="J147" s="62" t="s">
        <v>869</v>
      </c>
    </row>
    <row r="148" spans="1:10" ht="28">
      <c r="A148" s="61">
        <v>10</v>
      </c>
      <c r="B148" s="61" t="s">
        <v>132</v>
      </c>
      <c r="C148" s="61" t="s">
        <v>203</v>
      </c>
      <c r="D148" s="61">
        <v>85</v>
      </c>
      <c r="E148" s="61">
        <v>7</v>
      </c>
      <c r="F148" s="62" t="s">
        <v>870</v>
      </c>
      <c r="G148" s="61" t="s">
        <v>583</v>
      </c>
      <c r="H148" s="61" t="s">
        <v>568</v>
      </c>
      <c r="I148" s="62"/>
      <c r="J148" s="62" t="s">
        <v>871</v>
      </c>
    </row>
    <row r="149" spans="1:10" ht="28">
      <c r="A149" s="61">
        <v>10</v>
      </c>
      <c r="B149" s="61" t="s">
        <v>132</v>
      </c>
      <c r="C149" s="61" t="s">
        <v>203</v>
      </c>
      <c r="D149" s="61">
        <v>85</v>
      </c>
      <c r="E149" s="61">
        <v>7</v>
      </c>
      <c r="F149" s="62" t="s">
        <v>872</v>
      </c>
      <c r="G149" s="61" t="s">
        <v>583</v>
      </c>
      <c r="H149" s="61" t="s">
        <v>564</v>
      </c>
      <c r="I149" s="62" t="s">
        <v>873</v>
      </c>
      <c r="J149" s="62" t="s">
        <v>874</v>
      </c>
    </row>
    <row r="150" spans="1:10">
      <c r="A150" s="61">
        <v>10</v>
      </c>
      <c r="B150" s="61" t="s">
        <v>132</v>
      </c>
      <c r="C150" s="61" t="s">
        <v>204</v>
      </c>
      <c r="D150" s="61">
        <v>90</v>
      </c>
      <c r="E150" s="61">
        <v>10</v>
      </c>
      <c r="F150" s="62" t="s">
        <v>875</v>
      </c>
      <c r="G150" s="61" t="s">
        <v>583</v>
      </c>
      <c r="H150" s="61" t="s">
        <v>564</v>
      </c>
      <c r="I150" s="62" t="s">
        <v>710</v>
      </c>
      <c r="J150" s="62" t="s">
        <v>711</v>
      </c>
    </row>
    <row r="151" spans="1:10" ht="28">
      <c r="A151" s="61">
        <v>10</v>
      </c>
      <c r="B151" s="61" t="s">
        <v>132</v>
      </c>
      <c r="C151" s="61" t="s">
        <v>204</v>
      </c>
      <c r="D151" s="61">
        <v>90</v>
      </c>
      <c r="E151" s="61">
        <v>10</v>
      </c>
      <c r="F151" s="62" t="s">
        <v>876</v>
      </c>
      <c r="G151" s="61" t="s">
        <v>583</v>
      </c>
      <c r="H151" s="61" t="s">
        <v>564</v>
      </c>
      <c r="I151" s="62" t="s">
        <v>702</v>
      </c>
      <c r="J151" s="62" t="s">
        <v>877</v>
      </c>
    </row>
    <row r="152" spans="1:10" ht="42">
      <c r="A152" s="61">
        <v>10</v>
      </c>
      <c r="B152" s="61" t="s">
        <v>132</v>
      </c>
      <c r="C152" s="61" t="s">
        <v>204</v>
      </c>
      <c r="D152" s="61">
        <v>90</v>
      </c>
      <c r="E152" s="61">
        <v>10</v>
      </c>
      <c r="F152" s="62" t="s">
        <v>878</v>
      </c>
      <c r="G152" s="61" t="s">
        <v>583</v>
      </c>
      <c r="H152" s="61" t="s">
        <v>564</v>
      </c>
      <c r="I152" s="62" t="s">
        <v>697</v>
      </c>
      <c r="J152" s="62" t="s">
        <v>879</v>
      </c>
    </row>
    <row r="153" spans="1:10" ht="42">
      <c r="A153" s="61">
        <v>10</v>
      </c>
      <c r="B153" s="61" t="s">
        <v>138</v>
      </c>
      <c r="C153" s="61" t="s">
        <v>202</v>
      </c>
      <c r="D153" s="61">
        <v>75</v>
      </c>
      <c r="E153" s="61">
        <v>9</v>
      </c>
      <c r="F153" s="62" t="s">
        <v>880</v>
      </c>
      <c r="G153" s="61" t="s">
        <v>583</v>
      </c>
      <c r="H153" s="61" t="s">
        <v>568</v>
      </c>
      <c r="I153" s="62"/>
      <c r="J153" s="62" t="s">
        <v>881</v>
      </c>
    </row>
    <row r="154" spans="1:10" ht="42">
      <c r="A154" s="61">
        <v>10</v>
      </c>
      <c r="B154" s="61" t="s">
        <v>138</v>
      </c>
      <c r="C154" s="61" t="s">
        <v>202</v>
      </c>
      <c r="D154" s="61">
        <v>75</v>
      </c>
      <c r="E154" s="61">
        <v>9</v>
      </c>
      <c r="F154" s="62" t="s">
        <v>882</v>
      </c>
      <c r="G154" s="61" t="s">
        <v>583</v>
      </c>
      <c r="H154" s="61" t="s">
        <v>566</v>
      </c>
      <c r="I154" s="62"/>
      <c r="J154" s="62" t="s">
        <v>883</v>
      </c>
    </row>
    <row r="155" spans="1:10" ht="42">
      <c r="A155" s="61">
        <v>10</v>
      </c>
      <c r="B155" s="61" t="s">
        <v>138</v>
      </c>
      <c r="C155" s="61" t="s">
        <v>202</v>
      </c>
      <c r="D155" s="61">
        <v>75</v>
      </c>
      <c r="E155" s="61">
        <v>9</v>
      </c>
      <c r="F155" s="62" t="s">
        <v>884</v>
      </c>
      <c r="G155" s="61" t="s">
        <v>583</v>
      </c>
      <c r="H155" s="61" t="s">
        <v>566</v>
      </c>
      <c r="I155" s="62"/>
      <c r="J155" s="62" t="s">
        <v>885</v>
      </c>
    </row>
    <row r="156" spans="1:10" ht="28">
      <c r="A156" s="61">
        <v>10</v>
      </c>
      <c r="B156" s="61" t="s">
        <v>138</v>
      </c>
      <c r="C156" s="61" t="s">
        <v>202</v>
      </c>
      <c r="D156" s="61">
        <v>75</v>
      </c>
      <c r="E156" s="61">
        <v>9</v>
      </c>
      <c r="F156" s="62" t="s">
        <v>886</v>
      </c>
      <c r="G156" s="61" t="s">
        <v>583</v>
      </c>
      <c r="H156" s="61" t="s">
        <v>566</v>
      </c>
      <c r="I156" s="62"/>
      <c r="J156" s="62" t="s">
        <v>887</v>
      </c>
    </row>
    <row r="157" spans="1:10" ht="42">
      <c r="A157" s="61">
        <v>10</v>
      </c>
      <c r="B157" s="61" t="s">
        <v>138</v>
      </c>
      <c r="C157" s="61" t="s">
        <v>203</v>
      </c>
      <c r="D157" s="61">
        <v>90</v>
      </c>
      <c r="E157" s="61">
        <v>10</v>
      </c>
      <c r="F157" s="62" t="s">
        <v>888</v>
      </c>
      <c r="G157" s="61" t="s">
        <v>583</v>
      </c>
      <c r="H157" s="61" t="s">
        <v>564</v>
      </c>
      <c r="I157" s="62" t="s">
        <v>889</v>
      </c>
      <c r="J157" s="62" t="s">
        <v>890</v>
      </c>
    </row>
    <row r="158" spans="1:10" ht="42">
      <c r="A158" s="61">
        <v>10</v>
      </c>
      <c r="B158" s="61" t="s">
        <v>138</v>
      </c>
      <c r="C158" s="61" t="s">
        <v>203</v>
      </c>
      <c r="D158" s="61">
        <v>90</v>
      </c>
      <c r="E158" s="61">
        <v>10</v>
      </c>
      <c r="F158" s="62" t="s">
        <v>891</v>
      </c>
      <c r="G158" s="61" t="s">
        <v>583</v>
      </c>
      <c r="H158" s="61" t="s">
        <v>564</v>
      </c>
      <c r="I158" s="62" t="s">
        <v>25</v>
      </c>
      <c r="J158" s="62" t="s">
        <v>892</v>
      </c>
    </row>
    <row r="159" spans="1:10" ht="28">
      <c r="A159" s="61">
        <v>10</v>
      </c>
      <c r="B159" s="61" t="s">
        <v>138</v>
      </c>
      <c r="C159" s="61" t="s">
        <v>204</v>
      </c>
      <c r="D159" s="61">
        <v>90</v>
      </c>
      <c r="E159" s="61">
        <v>10</v>
      </c>
      <c r="F159" s="62" t="s">
        <v>893</v>
      </c>
      <c r="G159" s="61" t="s">
        <v>583</v>
      </c>
      <c r="H159" s="61" t="s">
        <v>564</v>
      </c>
      <c r="I159" s="62" t="s">
        <v>25</v>
      </c>
      <c r="J159" s="62" t="s">
        <v>894</v>
      </c>
    </row>
    <row r="160" spans="1:10" ht="28">
      <c r="A160" s="61">
        <v>10</v>
      </c>
      <c r="B160" s="61" t="s">
        <v>138</v>
      </c>
      <c r="C160" s="61" t="s">
        <v>204</v>
      </c>
      <c r="D160" s="61">
        <v>90</v>
      </c>
      <c r="E160" s="61">
        <v>10</v>
      </c>
      <c r="F160" s="62" t="s">
        <v>895</v>
      </c>
      <c r="G160" s="61" t="s">
        <v>583</v>
      </c>
      <c r="H160" s="61" t="s">
        <v>564</v>
      </c>
      <c r="I160" s="62" t="s">
        <v>889</v>
      </c>
      <c r="J160" s="62" t="s">
        <v>896</v>
      </c>
    </row>
    <row r="161" spans="1:10" ht="42">
      <c r="A161" s="61">
        <v>10</v>
      </c>
      <c r="B161" s="61" t="s">
        <v>138</v>
      </c>
      <c r="C161" s="61" t="s">
        <v>204</v>
      </c>
      <c r="D161" s="61">
        <v>90</v>
      </c>
      <c r="E161" s="61">
        <v>10</v>
      </c>
      <c r="F161" s="62" t="s">
        <v>897</v>
      </c>
      <c r="G161" s="61" t="s">
        <v>583</v>
      </c>
      <c r="H161" s="61" t="s">
        <v>566</v>
      </c>
      <c r="I161" s="62"/>
      <c r="J161" s="62" t="s">
        <v>898</v>
      </c>
    </row>
    <row r="162" spans="1:10" ht="28">
      <c r="A162" s="61">
        <v>10</v>
      </c>
      <c r="B162" s="61" t="s">
        <v>141</v>
      </c>
      <c r="C162" s="61" t="s">
        <v>203</v>
      </c>
      <c r="D162" s="61">
        <v>85</v>
      </c>
      <c r="E162" s="61">
        <v>8</v>
      </c>
      <c r="F162" s="62" t="s">
        <v>899</v>
      </c>
      <c r="G162" s="61" t="s">
        <v>583</v>
      </c>
      <c r="H162" s="61" t="s">
        <v>564</v>
      </c>
      <c r="I162" s="62" t="s">
        <v>900</v>
      </c>
      <c r="J162" s="62" t="s">
        <v>901</v>
      </c>
    </row>
    <row r="163" spans="1:10" ht="42">
      <c r="A163" s="61">
        <v>10</v>
      </c>
      <c r="B163" s="61" t="s">
        <v>141</v>
      </c>
      <c r="C163" s="61" t="s">
        <v>204</v>
      </c>
      <c r="D163" s="61">
        <v>90</v>
      </c>
      <c r="E163" s="61">
        <v>8</v>
      </c>
      <c r="F163" s="62" t="s">
        <v>902</v>
      </c>
      <c r="G163" s="61" t="s">
        <v>583</v>
      </c>
      <c r="H163" s="61" t="s">
        <v>564</v>
      </c>
      <c r="I163" s="62" t="s">
        <v>41</v>
      </c>
      <c r="J163" s="62" t="s">
        <v>903</v>
      </c>
    </row>
    <row r="164" spans="1:10" ht="42">
      <c r="A164" s="61">
        <v>10</v>
      </c>
      <c r="B164" s="61" t="s">
        <v>144</v>
      </c>
      <c r="C164" s="61" t="s">
        <v>203</v>
      </c>
      <c r="D164" s="61">
        <v>90</v>
      </c>
      <c r="E164" s="61">
        <v>6</v>
      </c>
      <c r="F164" s="62" t="s">
        <v>904</v>
      </c>
      <c r="G164" s="61" t="s">
        <v>583</v>
      </c>
      <c r="H164" s="61" t="s">
        <v>568</v>
      </c>
      <c r="I164" s="62"/>
      <c r="J164" s="62" t="s">
        <v>905</v>
      </c>
    </row>
    <row r="165" spans="1:10" ht="42">
      <c r="A165" s="61">
        <v>10</v>
      </c>
      <c r="B165" s="61" t="s">
        <v>150</v>
      </c>
      <c r="C165" s="61" t="s">
        <v>204</v>
      </c>
      <c r="D165" s="61">
        <v>75</v>
      </c>
      <c r="E165" s="61">
        <v>7</v>
      </c>
      <c r="F165" s="62" t="s">
        <v>906</v>
      </c>
      <c r="G165" s="61" t="s">
        <v>583</v>
      </c>
      <c r="H165" s="61" t="s">
        <v>568</v>
      </c>
      <c r="I165" s="62"/>
      <c r="J165" s="62" t="s">
        <v>907</v>
      </c>
    </row>
    <row r="166" spans="1:10" ht="56">
      <c r="A166" s="61">
        <v>10</v>
      </c>
      <c r="B166" s="61" t="s">
        <v>150</v>
      </c>
      <c r="C166" s="61" t="s">
        <v>204</v>
      </c>
      <c r="D166" s="61">
        <v>75</v>
      </c>
      <c r="E166" s="61">
        <v>7</v>
      </c>
      <c r="F166" s="62" t="s">
        <v>908</v>
      </c>
      <c r="G166" s="61" t="s">
        <v>583</v>
      </c>
      <c r="H166" s="61" t="s">
        <v>568</v>
      </c>
      <c r="I166" s="62"/>
      <c r="J166" s="62" t="s">
        <v>909</v>
      </c>
    </row>
    <row r="167" spans="1:10" ht="28">
      <c r="A167" s="61">
        <v>10</v>
      </c>
      <c r="B167" s="61" t="s">
        <v>8</v>
      </c>
      <c r="C167" s="61" t="s">
        <v>203</v>
      </c>
      <c r="D167" s="61">
        <v>80</v>
      </c>
      <c r="E167" s="61">
        <v>10</v>
      </c>
      <c r="F167" s="62" t="s">
        <v>910</v>
      </c>
      <c r="G167" s="61" t="s">
        <v>583</v>
      </c>
      <c r="H167" s="61" t="s">
        <v>566</v>
      </c>
      <c r="I167" s="62"/>
      <c r="J167" s="62" t="s">
        <v>911</v>
      </c>
    </row>
    <row r="168" spans="1:10" ht="42">
      <c r="A168" s="61">
        <v>10</v>
      </c>
      <c r="B168" s="61" t="s">
        <v>8</v>
      </c>
      <c r="C168" s="61" t="s">
        <v>203</v>
      </c>
      <c r="D168" s="61">
        <v>80</v>
      </c>
      <c r="E168" s="61">
        <v>10</v>
      </c>
      <c r="F168" s="62" t="s">
        <v>912</v>
      </c>
      <c r="G168" s="61" t="s">
        <v>583</v>
      </c>
      <c r="H168" s="61" t="s">
        <v>566</v>
      </c>
      <c r="I168" s="62"/>
      <c r="J168" s="62" t="s">
        <v>913</v>
      </c>
    </row>
    <row r="169" spans="1:10" ht="42">
      <c r="A169" s="61">
        <v>10</v>
      </c>
      <c r="B169" s="61" t="s">
        <v>8</v>
      </c>
      <c r="C169" s="61" t="s">
        <v>203</v>
      </c>
      <c r="D169" s="61">
        <v>80</v>
      </c>
      <c r="E169" s="61">
        <v>10</v>
      </c>
      <c r="F169" s="62" t="s">
        <v>914</v>
      </c>
      <c r="G169" s="61" t="s">
        <v>583</v>
      </c>
      <c r="H169" s="61" t="s">
        <v>566</v>
      </c>
      <c r="I169" s="62"/>
      <c r="J169" s="62" t="s">
        <v>915</v>
      </c>
    </row>
    <row r="170" spans="1:10" ht="42">
      <c r="A170" s="61">
        <v>10</v>
      </c>
      <c r="B170" s="61" t="s">
        <v>8</v>
      </c>
      <c r="C170" s="61" t="s">
        <v>204</v>
      </c>
      <c r="D170" s="61">
        <v>85</v>
      </c>
      <c r="E170" s="61">
        <v>10</v>
      </c>
      <c r="F170" s="62" t="s">
        <v>914</v>
      </c>
      <c r="G170" s="61" t="s">
        <v>583</v>
      </c>
      <c r="H170" s="61" t="s">
        <v>566</v>
      </c>
      <c r="I170" s="62"/>
      <c r="J170" s="62" t="s">
        <v>916</v>
      </c>
    </row>
    <row r="171" spans="1:10" ht="42">
      <c r="A171" s="61">
        <v>10</v>
      </c>
      <c r="B171" s="61" t="s">
        <v>8</v>
      </c>
      <c r="C171" s="61" t="s">
        <v>204</v>
      </c>
      <c r="D171" s="61">
        <v>85</v>
      </c>
      <c r="E171" s="61">
        <v>10</v>
      </c>
      <c r="F171" s="62" t="s">
        <v>917</v>
      </c>
      <c r="G171" s="61" t="s">
        <v>583</v>
      </c>
      <c r="H171" s="61" t="s">
        <v>566</v>
      </c>
      <c r="I171" s="62"/>
      <c r="J171" s="62" t="s">
        <v>918</v>
      </c>
    </row>
    <row r="172" spans="1:10" ht="28">
      <c r="A172" s="61">
        <v>10</v>
      </c>
      <c r="B172" s="61" t="s">
        <v>8</v>
      </c>
      <c r="C172" s="61" t="s">
        <v>204</v>
      </c>
      <c r="D172" s="61">
        <v>85</v>
      </c>
      <c r="E172" s="61">
        <v>10</v>
      </c>
      <c r="F172" s="62" t="s">
        <v>919</v>
      </c>
      <c r="G172" s="61" t="s">
        <v>583</v>
      </c>
      <c r="H172" s="61" t="s">
        <v>564</v>
      </c>
      <c r="I172" s="62" t="s">
        <v>920</v>
      </c>
      <c r="J172" s="62" t="s">
        <v>921</v>
      </c>
    </row>
    <row r="173" spans="1:10" ht="42">
      <c r="A173" s="61">
        <v>10</v>
      </c>
      <c r="B173" s="61" t="s">
        <v>44</v>
      </c>
      <c r="C173" s="61" t="s">
        <v>203</v>
      </c>
      <c r="D173" s="61">
        <v>85</v>
      </c>
      <c r="E173" s="61">
        <v>10</v>
      </c>
      <c r="F173" s="62" t="s">
        <v>922</v>
      </c>
      <c r="G173" s="61" t="s">
        <v>583</v>
      </c>
      <c r="H173" s="61" t="s">
        <v>564</v>
      </c>
      <c r="I173" s="62" t="s">
        <v>61</v>
      </c>
      <c r="J173" s="62" t="s">
        <v>923</v>
      </c>
    </row>
    <row r="174" spans="1:10" ht="42">
      <c r="A174" s="61">
        <v>10</v>
      </c>
      <c r="B174" s="61" t="s">
        <v>44</v>
      </c>
      <c r="C174" s="61" t="s">
        <v>203</v>
      </c>
      <c r="D174" s="61">
        <v>85</v>
      </c>
      <c r="E174" s="61">
        <v>10</v>
      </c>
      <c r="F174" s="62" t="s">
        <v>924</v>
      </c>
      <c r="G174" s="61" t="s">
        <v>583</v>
      </c>
      <c r="H174" s="61" t="s">
        <v>564</v>
      </c>
      <c r="I174" s="62" t="s">
        <v>25</v>
      </c>
      <c r="J174" s="62" t="s">
        <v>925</v>
      </c>
    </row>
    <row r="175" spans="1:10" ht="42">
      <c r="A175" s="61">
        <v>10</v>
      </c>
      <c r="B175" s="61" t="s">
        <v>44</v>
      </c>
      <c r="C175" s="61" t="s">
        <v>203</v>
      </c>
      <c r="D175" s="61">
        <v>85</v>
      </c>
      <c r="E175" s="61">
        <v>10</v>
      </c>
      <c r="F175" s="62" t="s">
        <v>926</v>
      </c>
      <c r="G175" s="61" t="s">
        <v>583</v>
      </c>
      <c r="H175" s="61" t="s">
        <v>566</v>
      </c>
      <c r="I175" s="62"/>
      <c r="J175" s="62" t="s">
        <v>927</v>
      </c>
    </row>
    <row r="176" spans="1:10" ht="42">
      <c r="A176" s="61">
        <v>10</v>
      </c>
      <c r="B176" s="61" t="s">
        <v>44</v>
      </c>
      <c r="C176" s="61" t="s">
        <v>203</v>
      </c>
      <c r="D176" s="61">
        <v>85</v>
      </c>
      <c r="E176" s="61">
        <v>10</v>
      </c>
      <c r="F176" s="62" t="s">
        <v>928</v>
      </c>
      <c r="G176" s="61" t="s">
        <v>583</v>
      </c>
      <c r="H176" s="61" t="s">
        <v>564</v>
      </c>
      <c r="I176" s="62" t="s">
        <v>17</v>
      </c>
      <c r="J176" s="62" t="s">
        <v>929</v>
      </c>
    </row>
    <row r="177" spans="1:10" ht="56">
      <c r="A177" s="61">
        <v>10</v>
      </c>
      <c r="B177" s="61" t="s">
        <v>44</v>
      </c>
      <c r="C177" s="61" t="s">
        <v>204</v>
      </c>
      <c r="D177" s="61">
        <v>80</v>
      </c>
      <c r="E177" s="61">
        <v>10</v>
      </c>
      <c r="F177" s="62" t="s">
        <v>930</v>
      </c>
      <c r="G177" s="61" t="s">
        <v>583</v>
      </c>
      <c r="H177" s="61" t="s">
        <v>566</v>
      </c>
      <c r="I177" s="62"/>
      <c r="J177" s="62" t="s">
        <v>931</v>
      </c>
    </row>
    <row r="178" spans="1:10" ht="42">
      <c r="A178" s="61">
        <v>10</v>
      </c>
      <c r="B178" s="61" t="s">
        <v>44</v>
      </c>
      <c r="C178" s="61" t="s">
        <v>204</v>
      </c>
      <c r="D178" s="61">
        <v>80</v>
      </c>
      <c r="E178" s="61">
        <v>10</v>
      </c>
      <c r="F178" s="62" t="s">
        <v>932</v>
      </c>
      <c r="G178" s="61" t="s">
        <v>583</v>
      </c>
      <c r="H178" s="61" t="s">
        <v>566</v>
      </c>
      <c r="I178" s="62"/>
      <c r="J178" s="62" t="s">
        <v>933</v>
      </c>
    </row>
    <row r="179" spans="1:10" ht="42">
      <c r="A179" s="61">
        <v>10</v>
      </c>
      <c r="B179" s="61" t="s">
        <v>44</v>
      </c>
      <c r="C179" s="61" t="s">
        <v>204</v>
      </c>
      <c r="D179" s="61">
        <v>80</v>
      </c>
      <c r="E179" s="61">
        <v>10</v>
      </c>
      <c r="F179" s="62" t="s">
        <v>934</v>
      </c>
      <c r="G179" s="61" t="s">
        <v>583</v>
      </c>
      <c r="H179" s="61" t="s">
        <v>566</v>
      </c>
      <c r="I179" s="62"/>
      <c r="J179" s="62" t="s">
        <v>935</v>
      </c>
    </row>
    <row r="180" spans="1:10" ht="28">
      <c r="A180" s="61">
        <v>10</v>
      </c>
      <c r="B180" s="61" t="s">
        <v>44</v>
      </c>
      <c r="C180" s="61" t="s">
        <v>204</v>
      </c>
      <c r="D180" s="61">
        <v>80</v>
      </c>
      <c r="E180" s="61">
        <v>10</v>
      </c>
      <c r="F180" s="62" t="s">
        <v>936</v>
      </c>
      <c r="G180" s="61" t="s">
        <v>583</v>
      </c>
      <c r="H180" s="61" t="s">
        <v>566</v>
      </c>
      <c r="I180" s="62"/>
      <c r="J180" s="62" t="s">
        <v>937</v>
      </c>
    </row>
  </sheetData>
  <autoFilter ref="A16:J180" xr:uid="{00000000-0009-0000-0000-00000B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Articles</vt:lpstr>
      <vt:lpstr>Questions</vt:lpstr>
      <vt:lpstr>Example-Question-Article</vt:lpstr>
      <vt:lpstr>Question-Article-Match</vt:lpstr>
      <vt:lpstr>Error Analysis</vt:lpstr>
      <vt:lpstr>Similarity</vt:lpstr>
      <vt:lpstr>Keyword Search Analysis</vt:lpstr>
      <vt:lpstr>Lexical</vt:lpstr>
      <vt:lpstr>Retrieval Comparison</vt:lpstr>
      <vt:lpstr>Answer Quality</vt:lpstr>
      <vt:lpstr>Answer Quality (All)</vt:lpstr>
      <vt:lpstr>Groundedness 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Trang Phan</cp:lastModifiedBy>
  <dcterms:created xsi:type="dcterms:W3CDTF">2026-10-10T07:29:05Z</dcterms:created>
  <dcterms:modified xsi:type="dcterms:W3CDTF">2026-10-13T06:05:00Z</dcterms:modified>
</cp:coreProperties>
</file>